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85" windowWidth="27735" windowHeight="11700"/>
  </bookViews>
  <sheets>
    <sheet name="매출관리" sheetId="1" r:id="rId1"/>
    <sheet name="원부자재" sheetId="3" r:id="rId2"/>
    <sheet name="외주정산" sheetId="4" r:id="rId3"/>
  </sheets>
  <calcPr calcId="124519"/>
</workbook>
</file>

<file path=xl/calcChain.xml><?xml version="1.0" encoding="utf-8"?>
<calcChain xmlns="http://schemas.openxmlformats.org/spreadsheetml/2006/main">
  <c r="F39" i="4"/>
  <c r="F27"/>
  <c r="F7"/>
  <c r="F23"/>
  <c r="F22"/>
  <c r="F21"/>
  <c r="F20"/>
  <c r="F13"/>
  <c r="F11"/>
  <c r="F10"/>
  <c r="M28" i="1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</calcChain>
</file>

<file path=xl/sharedStrings.xml><?xml version="1.0" encoding="utf-8"?>
<sst xmlns="http://schemas.openxmlformats.org/spreadsheetml/2006/main" count="516" uniqueCount="230">
  <si>
    <t>일자</t>
  </si>
  <si>
    <t>사업자명</t>
  </si>
  <si>
    <t>담당자</t>
  </si>
  <si>
    <t>작업명</t>
  </si>
  <si>
    <t>주문</t>
  </si>
  <si>
    <t>생분해 홍보물</t>
  </si>
  <si>
    <t>기타</t>
  </si>
  <si>
    <t>총계</t>
  </si>
  <si>
    <t>견적서</t>
  </si>
  <si>
    <t>제작파일</t>
  </si>
  <si>
    <t>결제방식</t>
  </si>
  <si>
    <t>총액</t>
  </si>
  <si>
    <t>결제</t>
  </si>
  <si>
    <t>작업요청</t>
  </si>
  <si>
    <t>발송마감</t>
  </si>
  <si>
    <t>발송일</t>
  </si>
  <si>
    <t>발송방식</t>
  </si>
  <si>
    <t>받는 곳</t>
  </si>
  <si>
    <t>계산서 발행</t>
  </si>
  <si>
    <t>특이사항</t>
  </si>
  <si>
    <t>현수막</t>
  </si>
  <si>
    <t>배너</t>
  </si>
  <si>
    <t>가로등</t>
  </si>
  <si>
    <t>어깨띠</t>
  </si>
  <si>
    <t>프린트라인 울산점</t>
  </si>
  <si>
    <t>이철웅</t>
  </si>
  <si>
    <t>수요정책실</t>
  </si>
  <si>
    <t>정식발행</t>
  </si>
  <si>
    <t>확정</t>
  </si>
  <si>
    <t>온라인송금</t>
  </si>
  <si>
    <t>택배</t>
  </si>
  <si>
    <t>울산</t>
  </si>
  <si>
    <t>발행</t>
  </si>
  <si>
    <t>호롱불스튜디오</t>
  </si>
  <si>
    <t>염단야</t>
  </si>
  <si>
    <t>시그널B</t>
  </si>
  <si>
    <t>택배G</t>
  </si>
  <si>
    <t>부평</t>
  </si>
  <si>
    <t>덱스터스튜디오</t>
  </si>
  <si>
    <t>김예지</t>
  </si>
  <si>
    <t>코트라 무료촬영</t>
  </si>
  <si>
    <t>없음</t>
  </si>
  <si>
    <t>홈페이지카드결제</t>
  </si>
  <si>
    <t>부산</t>
  </si>
  <si>
    <t>불필요</t>
  </si>
  <si>
    <t>준법지원실</t>
  </si>
  <si>
    <t>지방재정공제회</t>
  </si>
  <si>
    <t>이준성</t>
  </si>
  <si>
    <t>에너지방문</t>
  </si>
  <si>
    <t>마포</t>
  </si>
  <si>
    <t>프린트라인</t>
  </si>
  <si>
    <t>맥가이버팩토리</t>
  </si>
  <si>
    <t>추수아</t>
  </si>
  <si>
    <t>그린유니콘</t>
  </si>
  <si>
    <t>퀵/트럭G</t>
  </si>
  <si>
    <t>세이브더칠드런 서부</t>
  </si>
  <si>
    <t>권유빈</t>
  </si>
  <si>
    <t>세이버클럽</t>
  </si>
  <si>
    <t>주문수정</t>
  </si>
  <si>
    <t>전북</t>
  </si>
  <si>
    <t>경기도 일자리재단</t>
  </si>
  <si>
    <t>이지현</t>
  </si>
  <si>
    <t>퇴임축하</t>
  </si>
  <si>
    <t>수원</t>
  </si>
  <si>
    <t>파루커뮤니케이션</t>
  </si>
  <si>
    <t>구희재</t>
  </si>
  <si>
    <t>양평군환경교육</t>
  </si>
  <si>
    <t>약식전달</t>
  </si>
  <si>
    <t>양평</t>
  </si>
  <si>
    <t>(사)에코나우</t>
  </si>
  <si>
    <t>홍다혜</t>
  </si>
  <si>
    <t>LG그린밸류</t>
  </si>
  <si>
    <t>서초</t>
  </si>
  <si>
    <t>감동프로젝트</t>
  </si>
  <si>
    <t>임정은</t>
  </si>
  <si>
    <t>대학로공연</t>
  </si>
  <si>
    <t>노원</t>
  </si>
  <si>
    <t>디자인812</t>
  </si>
  <si>
    <t>작은모짜르트</t>
  </si>
  <si>
    <t>창원원</t>
  </si>
  <si>
    <t xml:space="preserve"> </t>
  </si>
  <si>
    <t>엠엔피</t>
  </si>
  <si>
    <t>송상호</t>
  </si>
  <si>
    <t>피엠씨</t>
  </si>
  <si>
    <t>시흥</t>
  </si>
  <si>
    <t>미결</t>
  </si>
  <si>
    <t>박병준</t>
  </si>
  <si>
    <t>예술탐험대</t>
  </si>
  <si>
    <t>스마트스토어결제</t>
  </si>
  <si>
    <t>창원</t>
  </si>
  <si>
    <t>주문확정</t>
  </si>
  <si>
    <t>원예도</t>
  </si>
  <si>
    <t>성균대행사</t>
  </si>
  <si>
    <t>성균대</t>
  </si>
  <si>
    <t>경기환경에너지</t>
  </si>
  <si>
    <t>안호선</t>
  </si>
  <si>
    <t>DMZ생태보전리더</t>
  </si>
  <si>
    <t>김포</t>
  </si>
  <si>
    <t>김해음악회</t>
  </si>
  <si>
    <t>김해</t>
  </si>
  <si>
    <t>도림언힐링콘서트</t>
  </si>
  <si>
    <t>디자인크레파스</t>
  </si>
  <si>
    <t>장미옥</t>
  </si>
  <si>
    <t>한국에너지공단</t>
  </si>
  <si>
    <t>직접전달</t>
  </si>
  <si>
    <t>백석</t>
  </si>
  <si>
    <t>그린PR</t>
  </si>
  <si>
    <t>하용만</t>
  </si>
  <si>
    <t>구분</t>
  </si>
  <si>
    <t>비고</t>
  </si>
  <si>
    <t>원부자재</t>
  </si>
  <si>
    <t>매입처</t>
  </si>
  <si>
    <t>매입가 (VAT 포함)</t>
  </si>
  <si>
    <t>증빙</t>
  </si>
  <si>
    <t>매입일</t>
  </si>
  <si>
    <t>매입량 (m)</t>
  </si>
  <si>
    <t>점검일</t>
  </si>
  <si>
    <t>잔여량</t>
  </si>
  <si>
    <t>스토리지</t>
  </si>
  <si>
    <t>원자재</t>
  </si>
  <si>
    <t>잔여량 (m)</t>
  </si>
  <si>
    <t>생분해성 / 700폭</t>
  </si>
  <si>
    <t>생분해성 / 600폭</t>
  </si>
  <si>
    <t>세금계산서</t>
  </si>
  <si>
    <t>부자재</t>
  </si>
  <si>
    <t>매입량</t>
  </si>
  <si>
    <t xml:space="preserve">잔여량 </t>
  </si>
  <si>
    <t>박스 / 1200폭</t>
  </si>
  <si>
    <t>박스팩</t>
  </si>
  <si>
    <t>박스 / 900폭</t>
  </si>
  <si>
    <t>박스 / 700폭</t>
  </si>
  <si>
    <t>박스 / 600폭</t>
  </si>
  <si>
    <t>종이테이프</t>
  </si>
  <si>
    <t>카드결제</t>
  </si>
  <si>
    <t>띠지</t>
  </si>
  <si>
    <t>잉크</t>
  </si>
  <si>
    <t>제작물</t>
  </si>
  <si>
    <t>사용일</t>
  </si>
  <si>
    <t>사용량</t>
  </si>
  <si>
    <t>동아사이언스 현수막</t>
  </si>
  <si>
    <t>경기도 수련장 인공암벽</t>
  </si>
  <si>
    <t>3000*3000 1개</t>
  </si>
  <si>
    <t>sh공사 행사</t>
  </si>
  <si>
    <t>인플릿</t>
  </si>
  <si>
    <t>외주정산</t>
  </si>
  <si>
    <t>시기</t>
  </si>
  <si>
    <t>정산 시기</t>
  </si>
  <si>
    <t>외주비용 (VAT 포함)</t>
  </si>
  <si>
    <t>예상액</t>
  </si>
  <si>
    <t>정기</t>
  </si>
  <si>
    <t>실사</t>
  </si>
  <si>
    <t>11월</t>
  </si>
  <si>
    <t>익월초</t>
  </si>
  <si>
    <t>12월</t>
  </si>
  <si>
    <t>꼬마작곡가</t>
  </si>
  <si>
    <t>살로몬</t>
  </si>
  <si>
    <t>경기에너지협동조합</t>
  </si>
  <si>
    <t>5000*900 각목 6개</t>
  </si>
  <si>
    <t>5000*900 각목 14개</t>
  </si>
  <si>
    <t>도림원 힐링콘서트</t>
  </si>
  <si>
    <t>5000*900 열재단</t>
  </si>
  <si>
    <t>생분해 원단 어깨띠</t>
  </si>
  <si>
    <t>미니배너 코팅</t>
  </si>
  <si>
    <t>미니배너 인쇄코팅</t>
  </si>
  <si>
    <t>30미터</t>
  </si>
  <si>
    <t>74미터</t>
  </si>
  <si>
    <t>디자인</t>
  </si>
  <si>
    <t>10월</t>
  </si>
  <si>
    <t>지방재정 신규디자인</t>
  </si>
  <si>
    <t>현수막1개</t>
  </si>
  <si>
    <t>세이브더칠드런</t>
  </si>
  <si>
    <t>현수막2개 신규(3만+2만)</t>
  </si>
  <si>
    <t>파일 2개 점검</t>
  </si>
  <si>
    <t>에코나우</t>
  </si>
  <si>
    <t>지방재정공재회</t>
  </si>
  <si>
    <t>경기환경에너지원</t>
  </si>
  <si>
    <t>1월</t>
  </si>
  <si>
    <t>2월</t>
  </si>
  <si>
    <t>확인요</t>
  </si>
  <si>
    <t>3월</t>
  </si>
  <si>
    <t>4월</t>
  </si>
  <si>
    <t>5월</t>
  </si>
  <si>
    <t>6월</t>
  </si>
  <si>
    <t>7월</t>
  </si>
  <si>
    <t>8월</t>
  </si>
  <si>
    <t>9월</t>
  </si>
  <si>
    <r>
      <t>DZ</t>
    </r>
    <r>
      <rPr>
        <sz val="10"/>
        <color theme="1"/>
        <rFont val="Arial"/>
        <family val="3"/>
        <charset val="129"/>
        <scheme val="major"/>
      </rPr>
      <t>원</t>
    </r>
    <phoneticPr fontId="4" type="noConversion"/>
  </si>
  <si>
    <r>
      <t>DZ</t>
    </r>
    <r>
      <rPr>
        <sz val="10"/>
        <color theme="1"/>
        <rFont val="Arial"/>
        <family val="3"/>
        <charset val="129"/>
        <scheme val="major"/>
      </rPr>
      <t>원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</si>
  <si>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1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</si>
  <si>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2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</si>
  <si>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충남방문의해</t>
    </r>
    <r>
      <rPr>
        <sz val="10"/>
        <color theme="1"/>
        <rFont val="Arial"/>
      </rPr>
      <t/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</si>
  <si>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3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</si>
  <si>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4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</si>
  <si>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5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</si>
  <si>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6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</si>
  <si>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7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</si>
  <si>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8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</si>
  <si>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외주</t>
    </r>
    <r>
      <rPr>
        <sz val="10"/>
        <color theme="1"/>
        <rFont val="Arial"/>
        <family val="2"/>
        <scheme val="major"/>
      </rPr>
      <t>9</t>
    </r>
    <r>
      <rPr>
        <sz val="11"/>
        <color theme="1"/>
        <rFont val="Arial"/>
        <family val="2"/>
        <charset val="129"/>
        <scheme val="minor"/>
      </rPr>
      <t/>
    </r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</si>
  <si>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세무법인</t>
    </r>
    <r>
      <rPr>
        <sz val="10"/>
        <color theme="1"/>
        <rFont val="Arial"/>
        <family val="2"/>
      </rPr>
      <t/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</si>
  <si>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세무법인</t>
    </r>
    <r>
      <rPr>
        <sz val="10"/>
        <color theme="1"/>
        <rFont val="Arial"/>
      </rPr>
      <t/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</si>
  <si>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관리비</t>
    </r>
    <phoneticPr fontId="4" type="noConversion"/>
  </si>
  <si>
    <r>
      <t>11</t>
    </r>
    <r>
      <rPr>
        <sz val="10"/>
        <color theme="1"/>
        <rFont val="Arial"/>
        <family val="3"/>
        <charset val="129"/>
        <scheme val="major"/>
      </rPr>
      <t>월</t>
    </r>
    <phoneticPr fontId="4" type="noConversion"/>
  </si>
  <si>
    <r>
      <t>12</t>
    </r>
    <r>
      <rPr>
        <sz val="10"/>
        <color theme="1"/>
        <rFont val="Arial"/>
        <family val="3"/>
        <charset val="129"/>
        <scheme val="major"/>
      </rPr>
      <t>월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</si>
  <si>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세무법인</t>
    </r>
    <r>
      <rPr>
        <sz val="10"/>
        <color theme="1"/>
        <rFont val="Arial"/>
      </rPr>
      <t/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</si>
  <si>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관리비</t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</si>
  <si>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엔위브</t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</si>
  <si>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고양</t>
    </r>
    <phoneticPr fontId="4" type="noConversion"/>
  </si>
  <si>
    <r>
      <rPr>
        <sz val="10"/>
        <color theme="4"/>
        <rFont val="돋움"/>
        <family val="3"/>
        <charset val="129"/>
      </rPr>
      <t/>
    </r>
    <r>
      <rPr>
        <sz val="10"/>
        <color theme="4"/>
        <rFont val="Arial"/>
        <family val="3"/>
        <charset val="129"/>
        <scheme val="major"/>
      </rPr>
      <t>생분해성</t>
    </r>
    <r>
      <rPr>
        <sz val="10"/>
        <color theme="4"/>
        <rFont val="Arial"/>
        <family val="2"/>
        <scheme val="major"/>
      </rPr>
      <t xml:space="preserve"> / 1600</t>
    </r>
    <r>
      <rPr>
        <sz val="10"/>
        <color theme="4"/>
        <rFont val="Arial"/>
        <family val="3"/>
        <charset val="129"/>
        <scheme val="major"/>
      </rPr>
      <t>폭</t>
    </r>
    <r>
      <rPr>
        <sz val="10"/>
        <color theme="4"/>
        <rFont val="Arial"/>
        <family val="2"/>
        <scheme val="major"/>
      </rPr>
      <t>*</t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</si>
  <si>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점착</t>
    </r>
    <r>
      <rPr>
        <sz val="10"/>
        <color theme="1"/>
        <rFont val="Arial"/>
        <family val="2"/>
        <scheme val="major"/>
      </rPr>
      <t xml:space="preserve"> </t>
    </r>
    <r>
      <rPr>
        <sz val="10"/>
        <color theme="1"/>
        <rFont val="Arial"/>
        <family val="3"/>
        <charset val="129"/>
        <scheme val="major"/>
      </rPr>
      <t>원단롤</t>
    </r>
    <phoneticPr fontId="4" type="noConversion"/>
  </si>
  <si>
    <t>TZET</t>
    <phoneticPr fontId="4" type="noConversion"/>
  </si>
  <si>
    <r>
      <rPr>
        <sz val="10"/>
        <color theme="1"/>
        <rFont val="Arial"/>
        <family val="3"/>
        <charset val="129"/>
        <scheme val="major"/>
      </rPr>
      <t>종이명찰</t>
    </r>
    <r>
      <rPr>
        <sz val="10"/>
        <color theme="1"/>
        <rFont val="Arial"/>
        <family val="2"/>
        <scheme val="major"/>
      </rPr>
      <t xml:space="preserve"> </t>
    </r>
    <r>
      <rPr>
        <sz val="10"/>
        <color theme="1"/>
        <rFont val="Arial"/>
        <family val="3"/>
        <charset val="129"/>
        <scheme val="major"/>
      </rPr>
      <t>양면</t>
    </r>
    <phoneticPr fontId="4" type="noConversion"/>
  </si>
  <si>
    <t>KIC</t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</si>
  <si>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종이명찰</t>
    </r>
    <r>
      <rPr>
        <sz val="10"/>
        <color theme="1"/>
        <rFont val="Arial"/>
        <family val="2"/>
        <scheme val="major"/>
      </rPr>
      <t xml:space="preserve"> </t>
    </r>
    <r>
      <rPr>
        <sz val="10"/>
        <color theme="1"/>
        <rFont val="Arial"/>
        <family val="3"/>
        <charset val="129"/>
        <scheme val="major"/>
      </rPr>
      <t>단면</t>
    </r>
    <r>
      <rPr>
        <sz val="10"/>
        <color theme="1"/>
        <rFont val="Arial"/>
        <family val="2"/>
        <scheme val="major"/>
      </rPr>
      <t xml:space="preserve"> </t>
    </r>
    <r>
      <rPr>
        <sz val="10"/>
        <color theme="1"/>
        <rFont val="Arial"/>
        <family val="3"/>
        <charset val="129"/>
        <scheme val="major"/>
      </rPr>
      <t>인쇄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</si>
  <si>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ajor"/>
      </rPr>
      <t>종이명찰</t>
    </r>
    <r>
      <rPr>
        <sz val="10"/>
        <color theme="1"/>
        <rFont val="Arial"/>
        <family val="2"/>
        <scheme val="major"/>
      </rPr>
      <t xml:space="preserve"> </t>
    </r>
    <r>
      <rPr>
        <sz val="10"/>
        <color theme="1"/>
        <rFont val="Arial"/>
        <family val="3"/>
        <charset val="129"/>
        <scheme val="major"/>
      </rPr>
      <t>단면</t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</si>
  <si>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고양</t>
    </r>
    <phoneticPr fontId="4" type="noConversion"/>
  </si>
  <si>
    <r>
      <rPr>
        <sz val="10"/>
        <color theme="1"/>
        <rFont val="Arial"/>
        <family val="3"/>
        <charset val="129"/>
        <scheme val="major"/>
      </rPr>
      <t>대경</t>
    </r>
    <phoneticPr fontId="4" type="noConversion"/>
  </si>
  <si>
    <t>HW</t>
    <phoneticPr fontId="4" type="noConversion"/>
  </si>
  <si>
    <r>
      <rPr>
        <sz val="10"/>
        <color theme="1"/>
        <rFont val="Arial"/>
        <family val="3"/>
        <charset val="129"/>
        <scheme val="major"/>
      </rPr>
      <t>이스트애드</t>
    </r>
    <phoneticPr fontId="4" type="noConversion"/>
  </si>
  <si>
    <r>
      <t xml:space="preserve">* </t>
    </r>
    <r>
      <rPr>
        <sz val="10"/>
        <color theme="4"/>
        <rFont val="Arial"/>
        <family val="3"/>
        <charset val="129"/>
        <scheme val="major"/>
      </rPr>
      <t>앤위브</t>
    </r>
    <r>
      <rPr>
        <sz val="10"/>
        <color theme="4"/>
        <rFont val="Arial"/>
        <family val="2"/>
        <scheme val="major"/>
      </rPr>
      <t xml:space="preserve"> / 1600  / 110m </t>
    </r>
    <r>
      <rPr>
        <sz val="10"/>
        <color theme="4"/>
        <rFont val="Arial"/>
        <family val="3"/>
        <charset val="129"/>
        <scheme val="major"/>
      </rPr>
      <t>사용</t>
    </r>
    <r>
      <rPr>
        <sz val="10"/>
        <color theme="4"/>
        <rFont val="Arial"/>
        <family val="2"/>
        <scheme val="major"/>
      </rPr>
      <t xml:space="preserve"> </t>
    </r>
    <r>
      <rPr>
        <sz val="10"/>
        <color theme="4"/>
        <rFont val="Arial"/>
        <family val="3"/>
        <charset val="129"/>
        <scheme val="major"/>
      </rPr>
      <t>현황</t>
    </r>
    <r>
      <rPr>
        <sz val="10"/>
        <color theme="4"/>
        <rFont val="Arial"/>
        <family val="2"/>
        <scheme val="major"/>
      </rPr>
      <t xml:space="preserve"> (</t>
    </r>
    <r>
      <rPr>
        <sz val="10"/>
        <color theme="4"/>
        <rFont val="Arial"/>
        <family val="3"/>
        <charset val="129"/>
        <scheme val="major"/>
      </rPr>
      <t>예</t>
    </r>
    <r>
      <rPr>
        <sz val="10"/>
        <color theme="4"/>
        <rFont val="Arial"/>
        <family val="2"/>
        <scheme val="major"/>
      </rPr>
      <t>)</t>
    </r>
    <phoneticPr fontId="4" type="noConversion"/>
  </si>
  <si>
    <r>
      <t>1800*8000 2</t>
    </r>
    <r>
      <rPr>
        <sz val="10"/>
        <color theme="1"/>
        <rFont val="Arial"/>
        <family val="3"/>
        <charset val="129"/>
        <scheme val="major"/>
      </rPr>
      <t>개</t>
    </r>
    <r>
      <rPr>
        <sz val="10"/>
        <color theme="1"/>
        <rFont val="Arial"/>
      </rPr>
      <t/>
    </r>
    <phoneticPr fontId="4" type="noConversion"/>
  </si>
  <si>
    <r>
      <t>1800*4400mm_2</t>
    </r>
    <r>
      <rPr>
        <sz val="10"/>
        <color theme="1"/>
        <rFont val="Arial"/>
        <family val="3"/>
        <charset val="129"/>
        <scheme val="major"/>
      </rPr>
      <t>장</t>
    </r>
    <r>
      <rPr>
        <sz val="10"/>
        <color theme="1"/>
        <rFont val="Arial"/>
        <family val="2"/>
        <scheme val="major"/>
      </rPr>
      <t xml:space="preserve">
4700-5200mm_1</t>
    </r>
    <r>
      <rPr>
        <sz val="10"/>
        <color theme="1"/>
        <rFont val="Arial"/>
        <family val="3"/>
        <charset val="129"/>
        <scheme val="major"/>
      </rPr>
      <t>장</t>
    </r>
    <phoneticPr fontId="4" type="noConversion"/>
  </si>
  <si>
    <r>
      <t xml:space="preserve">9000*3800 </t>
    </r>
    <r>
      <rPr>
        <sz val="10"/>
        <color theme="1"/>
        <rFont val="Arial"/>
        <family val="3"/>
        <charset val="129"/>
        <scheme val="major"/>
      </rPr>
      <t>현수막</t>
    </r>
    <r>
      <rPr>
        <sz val="10"/>
        <color theme="1"/>
        <rFont val="Arial"/>
        <family val="2"/>
        <scheme val="major"/>
      </rPr>
      <t xml:space="preserve"> 1</t>
    </r>
    <r>
      <rPr>
        <sz val="10"/>
        <color theme="1"/>
        <rFont val="Arial"/>
        <family val="3"/>
        <charset val="129"/>
        <scheme val="major"/>
      </rPr>
      <t>개</t>
    </r>
    <phoneticPr fontId="4" type="noConversion"/>
  </si>
  <si>
    <r>
      <rPr>
        <sz val="10"/>
        <color theme="1"/>
        <rFont val="Arial"/>
        <family val="3"/>
        <charset val="129"/>
        <scheme val="minor"/>
      </rPr>
      <t>일반</t>
    </r>
    <phoneticPr fontId="4" type="noConversion"/>
  </si>
  <si>
    <r>
      <rPr>
        <sz val="10"/>
        <color theme="1"/>
        <rFont val="Arial"/>
        <family val="3"/>
        <charset val="129"/>
        <scheme val="minor"/>
      </rPr>
      <t>재활용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</si>
  <si>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inor"/>
      </rPr>
      <t>현금영수증</t>
    </r>
    <r>
      <rPr>
        <sz val="10"/>
        <color theme="1"/>
        <rFont val="Arial"/>
      </rPr>
      <t/>
    </r>
    <phoneticPr fontId="4" type="noConversion"/>
  </si>
  <si>
    <r>
      <rPr>
        <sz val="10"/>
        <color theme="1"/>
        <rFont val="Arial"/>
        <family val="3"/>
        <charset val="129"/>
        <scheme val="minor"/>
      </rPr>
      <t>불필요</t>
    </r>
    <phoneticPr fontId="4" type="noConversion"/>
  </si>
  <si>
    <r>
      <rPr>
        <sz val="10"/>
        <color theme="1"/>
        <rFont val="돋움"/>
        <family val="3"/>
        <charset val="129"/>
      </rPr>
      <t/>
    </r>
    <r>
      <rPr>
        <sz val="10"/>
        <color theme="1"/>
        <rFont val="Arial"/>
        <family val="3"/>
        <charset val="129"/>
        <scheme val="minor"/>
      </rPr>
      <t>현금영수증</t>
    </r>
    <r>
      <rPr>
        <sz val="10"/>
        <color theme="1"/>
        <rFont val="Arial"/>
      </rPr>
      <t/>
    </r>
    <phoneticPr fontId="4" type="noConversion"/>
  </si>
  <si>
    <r>
      <t>1</t>
    </r>
    <r>
      <rPr>
        <sz val="10"/>
        <color theme="1"/>
        <rFont val="Arial"/>
        <family val="3"/>
        <charset val="129"/>
        <scheme val="minor"/>
      </rPr>
      <t>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제작</t>
    </r>
    <phoneticPr fontId="4" type="noConversion"/>
  </si>
  <si>
    <r>
      <t>2</t>
    </r>
    <r>
      <rPr>
        <sz val="10"/>
        <color theme="1"/>
        <rFont val="Arial"/>
        <family val="3"/>
        <charset val="129"/>
        <scheme val="minor"/>
      </rPr>
      <t>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제작</t>
    </r>
    <phoneticPr fontId="4" type="noConversion"/>
  </si>
  <si>
    <t>매출관리</t>
    <phoneticPr fontId="4" type="noConversion"/>
  </si>
</sst>
</file>

<file path=xl/styles.xml><?xml version="1.0" encoding="utf-8"?>
<styleSheet xmlns="http://schemas.openxmlformats.org/spreadsheetml/2006/main">
  <numFmts count="5">
    <numFmt numFmtId="176" formatCode="[$₩-412]#,##0"/>
    <numFmt numFmtId="177" formatCode="yyyy\.\ m\.\ d"/>
    <numFmt numFmtId="178" formatCode="yyyy&quot;. &quot;m&quot;. &quot;d&quot;.&quot;"/>
    <numFmt numFmtId="179" formatCode="m/d"/>
    <numFmt numFmtId="180" formatCode="yyyy\.\ mm\.\ dd"/>
  </numFmts>
  <fonts count="21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4"/>
      <name val="돋움"/>
      <family val="3"/>
      <charset val="129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5"/>
      <color theme="1"/>
      <name val="Arial"/>
      <family val="2"/>
      <scheme val="major"/>
    </font>
    <font>
      <sz val="10"/>
      <color theme="1"/>
      <name val="Arial"/>
      <family val="3"/>
      <charset val="129"/>
      <scheme val="major"/>
    </font>
    <font>
      <sz val="10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theme="4"/>
      <name val="Arial"/>
      <family val="3"/>
      <charset val="129"/>
      <scheme val="major"/>
    </font>
    <font>
      <sz val="10"/>
      <color rgb="FF0000FF"/>
      <name val="Arial"/>
      <family val="2"/>
      <scheme val="maj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5"/>
      <color theme="1"/>
      <name val="Arial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3" fillId="0" borderId="7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176" fontId="2" fillId="0" borderId="0" xfId="0" applyNumberFormat="1" applyFont="1"/>
    <xf numFmtId="0" fontId="2" fillId="0" borderId="0" xfId="0" applyFont="1" applyAlignment="1"/>
    <xf numFmtId="0" fontId="10" fillId="0" borderId="0" xfId="0" applyFont="1" applyAlignment="1">
      <alignment horizontal="center"/>
    </xf>
    <xf numFmtId="178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/>
    <xf numFmtId="176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0" fillId="2" borderId="6" xfId="0" applyFont="1" applyFill="1" applyBorder="1" applyAlignment="1">
      <alignment horizontal="center"/>
    </xf>
    <xf numFmtId="178" fontId="10" fillId="2" borderId="4" xfId="0" applyNumberFormat="1" applyFont="1" applyFill="1" applyBorder="1" applyAlignment="1">
      <alignment horizontal="center"/>
    </xf>
    <xf numFmtId="176" fontId="10" fillId="2" borderId="4" xfId="0" applyNumberFormat="1" applyFont="1" applyFill="1" applyBorder="1" applyAlignment="1">
      <alignment horizontal="center"/>
    </xf>
    <xf numFmtId="176" fontId="11" fillId="2" borderId="4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78" fontId="10" fillId="2" borderId="6" xfId="0" applyNumberFormat="1" applyFont="1" applyFill="1" applyBorder="1" applyAlignment="1">
      <alignment horizontal="center"/>
    </xf>
    <xf numFmtId="176" fontId="10" fillId="2" borderId="6" xfId="0" applyNumberFormat="1" applyFont="1" applyFill="1" applyBorder="1" applyAlignment="1">
      <alignment horizontal="center"/>
    </xf>
    <xf numFmtId="176" fontId="11" fillId="2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78" fontId="10" fillId="7" borderId="6" xfId="0" applyNumberFormat="1" applyFont="1" applyFill="1" applyBorder="1" applyAlignment="1">
      <alignment horizontal="center"/>
    </xf>
    <xf numFmtId="176" fontId="10" fillId="7" borderId="2" xfId="0" applyNumberFormat="1" applyFont="1" applyFill="1" applyBorder="1" applyAlignment="1">
      <alignment horizontal="center"/>
    </xf>
    <xf numFmtId="0" fontId="14" fillId="0" borderId="3" xfId="0" applyFont="1" applyBorder="1"/>
    <xf numFmtId="0" fontId="14" fillId="0" borderId="4" xfId="0" applyFont="1" applyBorder="1"/>
    <xf numFmtId="176" fontId="11" fillId="7" borderId="6" xfId="0" applyNumberFormat="1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76" fontId="10" fillId="6" borderId="6" xfId="0" applyNumberFormat="1" applyFont="1" applyFill="1" applyBorder="1" applyAlignment="1">
      <alignment horizontal="center"/>
    </xf>
    <xf numFmtId="176" fontId="11" fillId="0" borderId="6" xfId="0" applyNumberFormat="1" applyFont="1" applyBorder="1" applyAlignment="1">
      <alignment horizontal="center"/>
    </xf>
    <xf numFmtId="179" fontId="10" fillId="0" borderId="6" xfId="0" applyNumberFormat="1" applyFont="1" applyBorder="1" applyAlignment="1">
      <alignment horizontal="center"/>
    </xf>
    <xf numFmtId="180" fontId="10" fillId="0" borderId="6" xfId="0" applyNumberFormat="1" applyFont="1" applyBorder="1" applyAlignment="1">
      <alignment horizontal="center"/>
    </xf>
    <xf numFmtId="178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/>
    <xf numFmtId="0" fontId="11" fillId="0" borderId="0" xfId="0" applyFont="1" applyAlignment="1"/>
    <xf numFmtId="3" fontId="10" fillId="0" borderId="0" xfId="0" applyNumberFormat="1" applyFont="1" applyAlignment="1">
      <alignment horizontal="center"/>
    </xf>
    <xf numFmtId="177" fontId="10" fillId="0" borderId="0" xfId="0" applyNumberFormat="1" applyFont="1" applyAlignment="1">
      <alignment horizontal="center"/>
    </xf>
    <xf numFmtId="3" fontId="10" fillId="2" borderId="4" xfId="0" applyNumberFormat="1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176" fontId="10" fillId="6" borderId="1" xfId="0" applyNumberFormat="1" applyFont="1" applyFill="1" applyBorder="1" applyAlignment="1">
      <alignment horizontal="center" vertical="center"/>
    </xf>
    <xf numFmtId="176" fontId="10" fillId="6" borderId="8" xfId="0" applyNumberFormat="1" applyFont="1" applyFill="1" applyBorder="1" applyAlignment="1">
      <alignment horizontal="center"/>
    </xf>
    <xf numFmtId="3" fontId="10" fillId="0" borderId="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4" fillId="0" borderId="5" xfId="0" applyFont="1" applyBorder="1"/>
    <xf numFmtId="0" fontId="15" fillId="6" borderId="5" xfId="0" applyFont="1" applyFill="1" applyBorder="1" applyAlignment="1">
      <alignment horizontal="center"/>
    </xf>
    <xf numFmtId="3" fontId="10" fillId="6" borderId="6" xfId="0" applyNumberFormat="1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177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0" fillId="6" borderId="0" xfId="0" applyFont="1" applyFill="1" applyAlignment="1">
      <alignment horizontal="center"/>
    </xf>
    <xf numFmtId="176" fontId="10" fillId="6" borderId="0" xfId="0" applyNumberFormat="1" applyFont="1" applyFill="1" applyAlignment="1">
      <alignment horizontal="center"/>
    </xf>
    <xf numFmtId="3" fontId="10" fillId="6" borderId="0" xfId="0" applyNumberFormat="1" applyFont="1" applyFill="1" applyAlignment="1">
      <alignment horizontal="center"/>
    </xf>
    <xf numFmtId="17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3" fontId="15" fillId="0" borderId="6" xfId="0" applyNumberFormat="1" applyFont="1" applyBorder="1" applyAlignment="1">
      <alignment horizontal="center"/>
    </xf>
    <xf numFmtId="177" fontId="11" fillId="0" borderId="6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10" fillId="6" borderId="6" xfId="0" applyFont="1" applyFill="1" applyBorder="1" applyAlignment="1">
      <alignment horizontal="center" vertical="center"/>
    </xf>
    <xf numFmtId="178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6" fontId="8" fillId="0" borderId="0" xfId="0" applyNumberFormat="1" applyFont="1" applyAlignment="1">
      <alignment horizontal="center"/>
    </xf>
    <xf numFmtId="0" fontId="8" fillId="0" borderId="0" xfId="0" applyFont="1" applyAlignment="1"/>
    <xf numFmtId="0" fontId="8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18" fillId="0" borderId="3" xfId="0" applyFont="1" applyBorder="1"/>
    <xf numFmtId="0" fontId="18" fillId="0" borderId="4" xfId="0" applyFont="1" applyBorder="1"/>
    <xf numFmtId="176" fontId="8" fillId="2" borderId="1" xfId="0" applyNumberFormat="1" applyFont="1" applyFill="1" applyBorder="1" applyAlignment="1">
      <alignment horizontal="center" vertical="center"/>
    </xf>
    <xf numFmtId="0" fontId="18" fillId="0" borderId="5" xfId="0" applyFont="1" applyBorder="1"/>
    <xf numFmtId="0" fontId="8" fillId="2" borderId="6" xfId="0" applyFont="1" applyFill="1" applyBorder="1" applyAlignment="1">
      <alignment horizontal="center"/>
    </xf>
    <xf numFmtId="0" fontId="19" fillId="0" borderId="5" xfId="0" applyFont="1" applyBorder="1" applyAlignment="1"/>
    <xf numFmtId="177" fontId="8" fillId="0" borderId="8" xfId="0" applyNumberFormat="1" applyFont="1" applyBorder="1" applyAlignment="1"/>
    <xf numFmtId="0" fontId="8" fillId="0" borderId="8" xfId="0" applyFont="1" applyBorder="1" applyAlignment="1"/>
    <xf numFmtId="0" fontId="8" fillId="4" borderId="8" xfId="0" applyFont="1" applyFill="1" applyBorder="1" applyAlignment="1"/>
    <xf numFmtId="0" fontId="8" fillId="5" borderId="8" xfId="0" applyFont="1" applyFill="1" applyBorder="1" applyAlignment="1">
      <alignment horizontal="right"/>
    </xf>
    <xf numFmtId="176" fontId="8" fillId="0" borderId="8" xfId="0" applyNumberFormat="1" applyFont="1" applyBorder="1" applyAlignment="1"/>
    <xf numFmtId="177" fontId="8" fillId="3" borderId="8" xfId="0" applyNumberFormat="1" applyFont="1" applyFill="1" applyBorder="1" applyAlignment="1"/>
    <xf numFmtId="0" fontId="8" fillId="3" borderId="8" xfId="0" applyFont="1" applyFill="1" applyBorder="1" applyAlignment="1"/>
    <xf numFmtId="0" fontId="8" fillId="4" borderId="4" xfId="0" applyFont="1" applyFill="1" applyBorder="1" applyAlignment="1"/>
    <xf numFmtId="0" fontId="8" fillId="0" borderId="4" xfId="0" applyFont="1" applyBorder="1" applyAlignment="1"/>
    <xf numFmtId="176" fontId="8" fillId="0" borderId="4" xfId="0" applyNumberFormat="1" applyFont="1" applyBorder="1" applyAlignment="1"/>
    <xf numFmtId="0" fontId="8" fillId="0" borderId="4" xfId="0" applyFont="1" applyBorder="1" applyAlignment="1">
      <alignment horizontal="center"/>
    </xf>
    <xf numFmtId="177" fontId="8" fillId="3" borderId="4" xfId="0" applyNumberFormat="1" applyFont="1" applyFill="1" applyBorder="1" applyAlignment="1"/>
    <xf numFmtId="0" fontId="8" fillId="3" borderId="4" xfId="0" applyFont="1" applyFill="1" applyBorder="1" applyAlignment="1"/>
    <xf numFmtId="0" fontId="8" fillId="0" borderId="8" xfId="0" applyFont="1" applyBorder="1" applyAlignment="1">
      <alignment horizontal="center"/>
    </xf>
    <xf numFmtId="177" fontId="8" fillId="0" borderId="4" xfId="0" applyNumberFormat="1" applyFont="1" applyBorder="1" applyAlignment="1"/>
    <xf numFmtId="0" fontId="19" fillId="0" borderId="0" xfId="0" applyFont="1" applyAlignment="1"/>
    <xf numFmtId="0" fontId="20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H492"/>
  <sheetViews>
    <sheetView tabSelected="1" workbookViewId="0">
      <pane xSplit="6" ySplit="5" topLeftCell="G6" activePane="bottomRight" state="frozen"/>
      <selection pane="topRight" activeCell="H1" sqref="H1"/>
      <selection pane="bottomLeft" activeCell="A6" sqref="A6"/>
      <selection pane="bottomRight" activeCell="B4" sqref="B4:B5"/>
    </sheetView>
  </sheetViews>
  <sheetFormatPr defaultColWidth="12.5703125" defaultRowHeight="15.75" customHeight="1"/>
  <cols>
    <col min="1" max="1" width="1.7109375" customWidth="1"/>
    <col min="2" max="2" width="14" style="91" customWidth="1"/>
    <col min="3" max="3" width="20.5703125" style="91" customWidth="1"/>
    <col min="4" max="4" width="10.42578125" style="91" customWidth="1"/>
    <col min="5" max="5" width="17.5703125" style="91" customWidth="1"/>
    <col min="6" max="6" width="9.28515625" style="91" customWidth="1"/>
    <col min="7" max="13" width="5.28515625" style="91" customWidth="1"/>
    <col min="14" max="14" width="10" style="91" customWidth="1"/>
    <col min="15" max="15" width="8.7109375" style="91" customWidth="1"/>
    <col min="16" max="16" width="17.5703125" style="91" customWidth="1"/>
    <col min="17" max="17" width="11.7109375" style="91" bestFit="1" customWidth="1"/>
    <col min="18" max="18" width="7.140625" style="91" customWidth="1"/>
    <col min="19" max="19" width="8.140625" style="91" customWidth="1"/>
    <col min="20" max="21" width="12" style="91" customWidth="1"/>
    <col min="22" max="22" width="12.140625" style="91" customWidth="1"/>
    <col min="23" max="23" width="6.42578125" style="91" customWidth="1"/>
    <col min="24" max="24" width="9.7109375" style="91" customWidth="1"/>
    <col min="25" max="25" width="15.28515625" style="91" customWidth="1"/>
  </cols>
  <sheetData>
    <row r="1" spans="1:34"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  <c r="R1" s="64"/>
      <c r="S1" s="64"/>
      <c r="T1" s="66"/>
      <c r="U1" s="66"/>
      <c r="V1" s="66"/>
      <c r="W1" s="66"/>
      <c r="X1" s="66"/>
      <c r="Y1" s="66"/>
    </row>
    <row r="2" spans="1:34"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  <c r="R2" s="64"/>
      <c r="S2" s="64"/>
      <c r="T2" s="66"/>
      <c r="U2" s="66"/>
      <c r="V2" s="66"/>
      <c r="W2" s="66"/>
      <c r="X2" s="66"/>
      <c r="Y2" s="66"/>
    </row>
    <row r="3" spans="1:34" ht="15.75" customHeight="1">
      <c r="B3" s="92" t="s">
        <v>229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5"/>
      <c r="R3" s="64"/>
      <c r="S3" s="64"/>
      <c r="T3" s="66"/>
      <c r="U3" s="66"/>
      <c r="V3" s="66"/>
      <c r="W3" s="66"/>
      <c r="X3" s="66"/>
      <c r="Y3" s="66"/>
    </row>
    <row r="4" spans="1:34">
      <c r="B4" s="67" t="s">
        <v>0</v>
      </c>
      <c r="C4" s="67" t="s">
        <v>1</v>
      </c>
      <c r="D4" s="67" t="s">
        <v>2</v>
      </c>
      <c r="E4" s="67" t="s">
        <v>3</v>
      </c>
      <c r="F4" s="67" t="s">
        <v>4</v>
      </c>
      <c r="G4" s="68" t="s">
        <v>222</v>
      </c>
      <c r="H4" s="69" t="s">
        <v>5</v>
      </c>
      <c r="I4" s="70"/>
      <c r="J4" s="70"/>
      <c r="K4" s="71"/>
      <c r="L4" s="67" t="s">
        <v>6</v>
      </c>
      <c r="M4" s="67" t="s">
        <v>7</v>
      </c>
      <c r="N4" s="67" t="s">
        <v>8</v>
      </c>
      <c r="O4" s="67" t="s">
        <v>9</v>
      </c>
      <c r="P4" s="67" t="s">
        <v>10</v>
      </c>
      <c r="Q4" s="72" t="s">
        <v>11</v>
      </c>
      <c r="R4" s="67" t="s">
        <v>12</v>
      </c>
      <c r="S4" s="67" t="s">
        <v>13</v>
      </c>
      <c r="T4" s="67" t="s">
        <v>14</v>
      </c>
      <c r="U4" s="67" t="s">
        <v>15</v>
      </c>
      <c r="V4" s="67" t="s">
        <v>16</v>
      </c>
      <c r="W4" s="67" t="s">
        <v>17</v>
      </c>
      <c r="X4" s="67" t="s">
        <v>18</v>
      </c>
      <c r="Y4" s="67" t="s">
        <v>19</v>
      </c>
    </row>
    <row r="5" spans="1:34">
      <c r="B5" s="73"/>
      <c r="C5" s="73"/>
      <c r="D5" s="73"/>
      <c r="E5" s="73"/>
      <c r="F5" s="73"/>
      <c r="G5" s="74" t="s">
        <v>223</v>
      </c>
      <c r="H5" s="74" t="s">
        <v>20</v>
      </c>
      <c r="I5" s="74" t="s">
        <v>21</v>
      </c>
      <c r="J5" s="74" t="s">
        <v>22</v>
      </c>
      <c r="K5" s="74" t="s">
        <v>23</v>
      </c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5"/>
      <c r="Y5" s="73"/>
    </row>
    <row r="6" spans="1:34">
      <c r="A6" s="1"/>
      <c r="B6" s="76">
        <v>45583</v>
      </c>
      <c r="C6" s="77" t="s">
        <v>24</v>
      </c>
      <c r="D6" s="77" t="s">
        <v>25</v>
      </c>
      <c r="E6" s="77" t="s">
        <v>26</v>
      </c>
      <c r="F6" s="77" t="b">
        <v>1</v>
      </c>
      <c r="G6" s="78"/>
      <c r="H6" s="78">
        <v>2</v>
      </c>
      <c r="I6" s="78"/>
      <c r="J6" s="78"/>
      <c r="K6" s="78"/>
      <c r="L6" s="78"/>
      <c r="M6" s="79">
        <f t="shared" ref="M6:M35" si="0">SUM(H6:L6)</f>
        <v>2</v>
      </c>
      <c r="N6" s="77" t="s">
        <v>27</v>
      </c>
      <c r="O6" s="77" t="s">
        <v>28</v>
      </c>
      <c r="P6" s="77" t="s">
        <v>29</v>
      </c>
      <c r="Q6" s="80">
        <v>65600</v>
      </c>
      <c r="R6" s="77" t="b">
        <v>1</v>
      </c>
      <c r="S6" s="77" t="b">
        <v>1</v>
      </c>
      <c r="T6" s="76">
        <v>45587</v>
      </c>
      <c r="U6" s="81">
        <v>45587</v>
      </c>
      <c r="V6" s="77" t="s">
        <v>30</v>
      </c>
      <c r="W6" s="77" t="s">
        <v>31</v>
      </c>
      <c r="X6" s="77" t="s">
        <v>32</v>
      </c>
      <c r="Y6" s="82"/>
      <c r="Z6" s="2"/>
      <c r="AA6" s="2"/>
      <c r="AB6" s="2"/>
      <c r="AC6" s="2"/>
      <c r="AD6" s="2"/>
      <c r="AE6" s="2"/>
      <c r="AF6" s="2"/>
      <c r="AG6" s="2"/>
      <c r="AH6" s="2"/>
    </row>
    <row r="7" spans="1:34">
      <c r="A7" s="1"/>
      <c r="B7" s="76">
        <v>45586</v>
      </c>
      <c r="C7" s="77" t="s">
        <v>33</v>
      </c>
      <c r="D7" s="77" t="s">
        <v>34</v>
      </c>
      <c r="E7" s="77" t="s">
        <v>35</v>
      </c>
      <c r="F7" s="77" t="b">
        <v>1</v>
      </c>
      <c r="G7" s="78"/>
      <c r="H7" s="78">
        <v>2</v>
      </c>
      <c r="I7" s="78">
        <v>4</v>
      </c>
      <c r="J7" s="78"/>
      <c r="K7" s="78"/>
      <c r="L7" s="78">
        <v>2</v>
      </c>
      <c r="M7" s="79">
        <f t="shared" si="0"/>
        <v>8</v>
      </c>
      <c r="N7" s="77" t="s">
        <v>27</v>
      </c>
      <c r="O7" s="77" t="s">
        <v>28</v>
      </c>
      <c r="P7" s="77" t="s">
        <v>29</v>
      </c>
      <c r="Q7" s="80">
        <v>173400</v>
      </c>
      <c r="R7" s="77" t="b">
        <v>1</v>
      </c>
      <c r="S7" s="77" t="b">
        <v>1</v>
      </c>
      <c r="T7" s="76">
        <v>45587</v>
      </c>
      <c r="U7" s="81">
        <v>45587</v>
      </c>
      <c r="V7" s="77" t="s">
        <v>36</v>
      </c>
      <c r="W7" s="77" t="s">
        <v>37</v>
      </c>
      <c r="X7" s="77" t="s">
        <v>224</v>
      </c>
      <c r="Y7" s="82"/>
      <c r="Z7" s="2"/>
      <c r="AA7" s="2"/>
      <c r="AB7" s="2"/>
      <c r="AC7" s="2"/>
      <c r="AD7" s="2"/>
      <c r="AE7" s="2"/>
      <c r="AF7" s="2"/>
      <c r="AG7" s="2"/>
      <c r="AH7" s="2"/>
    </row>
    <row r="8" spans="1:34">
      <c r="A8" s="1"/>
      <c r="B8" s="76">
        <v>45587</v>
      </c>
      <c r="C8" s="77" t="s">
        <v>38</v>
      </c>
      <c r="D8" s="77" t="s">
        <v>39</v>
      </c>
      <c r="E8" s="77" t="s">
        <v>40</v>
      </c>
      <c r="F8" s="77" t="b">
        <v>1</v>
      </c>
      <c r="G8" s="78"/>
      <c r="H8" s="78"/>
      <c r="I8" s="78">
        <v>1</v>
      </c>
      <c r="J8" s="78"/>
      <c r="K8" s="78"/>
      <c r="L8" s="78"/>
      <c r="M8" s="79">
        <f t="shared" si="0"/>
        <v>1</v>
      </c>
      <c r="N8" s="77" t="s">
        <v>41</v>
      </c>
      <c r="O8" s="77" t="s">
        <v>28</v>
      </c>
      <c r="P8" s="77" t="s">
        <v>42</v>
      </c>
      <c r="Q8" s="80">
        <v>15880</v>
      </c>
      <c r="R8" s="77" t="b">
        <v>1</v>
      </c>
      <c r="S8" s="77" t="b">
        <v>1</v>
      </c>
      <c r="T8" s="76">
        <v>45588</v>
      </c>
      <c r="U8" s="81">
        <v>45588</v>
      </c>
      <c r="V8" s="77" t="s">
        <v>30</v>
      </c>
      <c r="W8" s="77" t="s">
        <v>43</v>
      </c>
      <c r="X8" s="77" t="s">
        <v>225</v>
      </c>
      <c r="Y8" s="82"/>
      <c r="Z8" s="2"/>
      <c r="AA8" s="2"/>
      <c r="AB8" s="2"/>
      <c r="AC8" s="2"/>
      <c r="AD8" s="2"/>
      <c r="AE8" s="2"/>
      <c r="AF8" s="2"/>
      <c r="AG8" s="2"/>
      <c r="AH8" s="2"/>
    </row>
    <row r="9" spans="1:34">
      <c r="A9" s="1"/>
      <c r="B9" s="76">
        <v>45608</v>
      </c>
      <c r="C9" s="77" t="s">
        <v>24</v>
      </c>
      <c r="D9" s="77" t="s">
        <v>25</v>
      </c>
      <c r="E9" s="77" t="s">
        <v>45</v>
      </c>
      <c r="F9" s="77" t="b">
        <v>1</v>
      </c>
      <c r="G9" s="78"/>
      <c r="H9" s="78">
        <v>1</v>
      </c>
      <c r="I9" s="78"/>
      <c r="J9" s="78"/>
      <c r="K9" s="78"/>
      <c r="L9" s="78"/>
      <c r="M9" s="79">
        <f t="shared" si="0"/>
        <v>1</v>
      </c>
      <c r="N9" s="77" t="s">
        <v>27</v>
      </c>
      <c r="O9" s="77" t="s">
        <v>28</v>
      </c>
      <c r="P9" s="77" t="s">
        <v>29</v>
      </c>
      <c r="Q9" s="80">
        <v>22480</v>
      </c>
      <c r="R9" s="77" t="b">
        <v>1</v>
      </c>
      <c r="S9" s="77" t="b">
        <v>1</v>
      </c>
      <c r="T9" s="76">
        <v>45609</v>
      </c>
      <c r="U9" s="81">
        <v>45609</v>
      </c>
      <c r="V9" s="77" t="s">
        <v>36</v>
      </c>
      <c r="W9" s="77" t="s">
        <v>31</v>
      </c>
      <c r="X9" s="77" t="s">
        <v>32</v>
      </c>
      <c r="Y9" s="82"/>
      <c r="Z9" s="2"/>
      <c r="AA9" s="2"/>
      <c r="AB9" s="2"/>
      <c r="AC9" s="2"/>
      <c r="AD9" s="2"/>
      <c r="AE9" s="2"/>
      <c r="AF9" s="2"/>
      <c r="AG9" s="2"/>
      <c r="AH9" s="2"/>
    </row>
    <row r="10" spans="1:34">
      <c r="A10" s="1"/>
      <c r="B10" s="76">
        <v>45611</v>
      </c>
      <c r="C10" s="77" t="s">
        <v>46</v>
      </c>
      <c r="D10" s="77" t="s">
        <v>47</v>
      </c>
      <c r="E10" s="77" t="s">
        <v>48</v>
      </c>
      <c r="F10" s="77" t="b">
        <v>1</v>
      </c>
      <c r="G10" s="78"/>
      <c r="H10" s="78">
        <v>1</v>
      </c>
      <c r="I10" s="78"/>
      <c r="J10" s="78"/>
      <c r="K10" s="78"/>
      <c r="L10" s="78"/>
      <c r="M10" s="79">
        <f t="shared" si="0"/>
        <v>1</v>
      </c>
      <c r="N10" s="77" t="s">
        <v>27</v>
      </c>
      <c r="O10" s="77" t="s">
        <v>4</v>
      </c>
      <c r="P10" s="77" t="s">
        <v>29</v>
      </c>
      <c r="Q10" s="80">
        <v>83640</v>
      </c>
      <c r="R10" s="77" t="b">
        <v>1</v>
      </c>
      <c r="S10" s="77" t="b">
        <v>1</v>
      </c>
      <c r="T10" s="76">
        <v>45615</v>
      </c>
      <c r="U10" s="81">
        <v>45615</v>
      </c>
      <c r="V10" s="77" t="s">
        <v>36</v>
      </c>
      <c r="W10" s="77" t="s">
        <v>49</v>
      </c>
      <c r="X10" s="77" t="s">
        <v>32</v>
      </c>
      <c r="Y10" s="82"/>
      <c r="Z10" s="2"/>
      <c r="AA10" s="2"/>
      <c r="AB10" s="2"/>
      <c r="AC10" s="2"/>
      <c r="AD10" s="2"/>
      <c r="AE10" s="2"/>
      <c r="AF10" s="2"/>
      <c r="AG10" s="2"/>
      <c r="AH10" s="2"/>
    </row>
    <row r="11" spans="1:34">
      <c r="A11" s="1"/>
      <c r="B11" s="76">
        <v>45615</v>
      </c>
      <c r="C11" s="77" t="s">
        <v>50</v>
      </c>
      <c r="D11" s="77" t="s">
        <v>25</v>
      </c>
      <c r="E11" s="77" t="s">
        <v>26</v>
      </c>
      <c r="F11" s="77" t="b">
        <v>1</v>
      </c>
      <c r="G11" s="78"/>
      <c r="H11" s="78">
        <v>1</v>
      </c>
      <c r="I11" s="78"/>
      <c r="J11" s="78"/>
      <c r="K11" s="78"/>
      <c r="L11" s="78"/>
      <c r="M11" s="79">
        <f t="shared" si="0"/>
        <v>1</v>
      </c>
      <c r="N11" s="77" t="s">
        <v>27</v>
      </c>
      <c r="O11" s="77" t="s">
        <v>28</v>
      </c>
      <c r="P11" s="77" t="s">
        <v>29</v>
      </c>
      <c r="Q11" s="80">
        <v>43600</v>
      </c>
      <c r="R11" s="77" t="b">
        <v>1</v>
      </c>
      <c r="S11" s="77" t="b">
        <v>1</v>
      </c>
      <c r="T11" s="76">
        <v>45617</v>
      </c>
      <c r="U11" s="81">
        <v>45617</v>
      </c>
      <c r="V11" s="77" t="s">
        <v>36</v>
      </c>
      <c r="W11" s="77" t="s">
        <v>31</v>
      </c>
      <c r="X11" s="77" t="s">
        <v>32</v>
      </c>
      <c r="Y11" s="82"/>
      <c r="Z11" s="2"/>
      <c r="AA11" s="2"/>
      <c r="AB11" s="2"/>
      <c r="AC11" s="2"/>
      <c r="AD11" s="2"/>
      <c r="AE11" s="2"/>
      <c r="AF11" s="2"/>
      <c r="AG11" s="2"/>
      <c r="AH11" s="2"/>
    </row>
    <row r="12" spans="1:34">
      <c r="A12" s="1"/>
      <c r="B12" s="76">
        <v>45617</v>
      </c>
      <c r="C12" s="77" t="s">
        <v>51</v>
      </c>
      <c r="D12" s="77" t="s">
        <v>52</v>
      </c>
      <c r="E12" s="77" t="s">
        <v>53</v>
      </c>
      <c r="F12" s="77" t="b">
        <v>1</v>
      </c>
      <c r="G12" s="78"/>
      <c r="H12" s="78"/>
      <c r="I12" s="78"/>
      <c r="J12" s="78"/>
      <c r="K12" s="78"/>
      <c r="L12" s="78"/>
      <c r="M12" s="79">
        <f t="shared" si="0"/>
        <v>0</v>
      </c>
      <c r="N12" s="77" t="s">
        <v>27</v>
      </c>
      <c r="O12" s="77" t="s">
        <v>28</v>
      </c>
      <c r="P12" s="77" t="s">
        <v>29</v>
      </c>
      <c r="Q12" s="80">
        <v>851900</v>
      </c>
      <c r="R12" s="77" t="b">
        <v>1</v>
      </c>
      <c r="S12" s="77" t="b">
        <v>1</v>
      </c>
      <c r="T12" s="76">
        <v>45623</v>
      </c>
      <c r="U12" s="81">
        <v>45623</v>
      </c>
      <c r="V12" s="77" t="s">
        <v>54</v>
      </c>
      <c r="W12" s="77" t="s">
        <v>49</v>
      </c>
      <c r="X12" s="77" t="s">
        <v>32</v>
      </c>
      <c r="Y12" s="82"/>
      <c r="Z12" s="2"/>
      <c r="AA12" s="2"/>
      <c r="AB12" s="2"/>
      <c r="AC12" s="2"/>
      <c r="AD12" s="2"/>
      <c r="AE12" s="2"/>
      <c r="AF12" s="2"/>
      <c r="AG12" s="2"/>
      <c r="AH12" s="2"/>
    </row>
    <row r="13" spans="1:34">
      <c r="A13" s="1"/>
      <c r="B13" s="76">
        <v>45624</v>
      </c>
      <c r="C13" s="77" t="s">
        <v>55</v>
      </c>
      <c r="D13" s="77" t="s">
        <v>56</v>
      </c>
      <c r="E13" s="77" t="s">
        <v>57</v>
      </c>
      <c r="F13" s="77" t="b">
        <v>1</v>
      </c>
      <c r="G13" s="78"/>
      <c r="H13" s="78">
        <v>1</v>
      </c>
      <c r="I13" s="78"/>
      <c r="J13" s="78"/>
      <c r="K13" s="78"/>
      <c r="L13" s="78"/>
      <c r="M13" s="79">
        <f t="shared" si="0"/>
        <v>1</v>
      </c>
      <c r="N13" s="77" t="s">
        <v>27</v>
      </c>
      <c r="O13" s="77" t="s">
        <v>58</v>
      </c>
      <c r="P13" s="77" t="s">
        <v>29</v>
      </c>
      <c r="Q13" s="80">
        <v>116200</v>
      </c>
      <c r="R13" s="77" t="b">
        <v>1</v>
      </c>
      <c r="S13" s="77" t="b">
        <v>1</v>
      </c>
      <c r="T13" s="76">
        <v>45635</v>
      </c>
      <c r="U13" s="81">
        <v>45635</v>
      </c>
      <c r="V13" s="77" t="s">
        <v>36</v>
      </c>
      <c r="W13" s="77" t="s">
        <v>59</v>
      </c>
      <c r="X13" s="77" t="s">
        <v>44</v>
      </c>
      <c r="Y13" s="82"/>
      <c r="Z13" s="2"/>
      <c r="AA13" s="2"/>
      <c r="AB13" s="2"/>
      <c r="AC13" s="2"/>
      <c r="AD13" s="2"/>
      <c r="AE13" s="2"/>
      <c r="AF13" s="2"/>
      <c r="AG13" s="2"/>
      <c r="AH13" s="2"/>
    </row>
    <row r="14" spans="1:34">
      <c r="A14" s="1"/>
      <c r="B14" s="76">
        <v>45624</v>
      </c>
      <c r="C14" s="77" t="s">
        <v>60</v>
      </c>
      <c r="D14" s="77" t="s">
        <v>61</v>
      </c>
      <c r="E14" s="77" t="s">
        <v>62</v>
      </c>
      <c r="F14" s="77" t="b">
        <v>1</v>
      </c>
      <c r="G14" s="78"/>
      <c r="H14" s="78"/>
      <c r="I14" s="78"/>
      <c r="J14" s="78"/>
      <c r="K14" s="78"/>
      <c r="L14" s="78">
        <v>1</v>
      </c>
      <c r="M14" s="79">
        <f t="shared" si="0"/>
        <v>1</v>
      </c>
      <c r="N14" s="77" t="s">
        <v>27</v>
      </c>
      <c r="O14" s="77" t="s">
        <v>4</v>
      </c>
      <c r="P14" s="77" t="s">
        <v>29</v>
      </c>
      <c r="Q14" s="80">
        <v>55000</v>
      </c>
      <c r="R14" s="77" t="b">
        <v>1</v>
      </c>
      <c r="S14" s="77" t="b">
        <v>1</v>
      </c>
      <c r="T14" s="76">
        <v>45630</v>
      </c>
      <c r="U14" s="81">
        <v>45630</v>
      </c>
      <c r="V14" s="77" t="s">
        <v>54</v>
      </c>
      <c r="W14" s="77" t="s">
        <v>63</v>
      </c>
      <c r="X14" s="77" t="s">
        <v>226</v>
      </c>
      <c r="Y14" s="82"/>
      <c r="Z14" s="2"/>
      <c r="AA14" s="2"/>
      <c r="AB14" s="2"/>
      <c r="AC14" s="2"/>
      <c r="AD14" s="2"/>
      <c r="AE14" s="2"/>
      <c r="AF14" s="2"/>
      <c r="AG14" s="2"/>
      <c r="AH14" s="2"/>
    </row>
    <row r="15" spans="1:34">
      <c r="A15" s="1"/>
      <c r="B15" s="76">
        <v>45639</v>
      </c>
      <c r="C15" s="77" t="s">
        <v>64</v>
      </c>
      <c r="D15" s="77" t="s">
        <v>65</v>
      </c>
      <c r="E15" s="77" t="s">
        <v>66</v>
      </c>
      <c r="F15" s="77" t="b">
        <v>1</v>
      </c>
      <c r="G15" s="78"/>
      <c r="H15" s="78">
        <v>2</v>
      </c>
      <c r="I15" s="78"/>
      <c r="J15" s="78"/>
      <c r="K15" s="78"/>
      <c r="L15" s="78"/>
      <c r="M15" s="79">
        <f t="shared" si="0"/>
        <v>2</v>
      </c>
      <c r="N15" s="77" t="s">
        <v>67</v>
      </c>
      <c r="O15" s="77" t="s">
        <v>28</v>
      </c>
      <c r="P15" s="77" t="s">
        <v>42</v>
      </c>
      <c r="Q15" s="80">
        <v>140800</v>
      </c>
      <c r="R15" s="77" t="b">
        <v>1</v>
      </c>
      <c r="S15" s="77" t="b">
        <v>1</v>
      </c>
      <c r="T15" s="76">
        <v>45643</v>
      </c>
      <c r="U15" s="81">
        <v>45643</v>
      </c>
      <c r="V15" s="77" t="s">
        <v>36</v>
      </c>
      <c r="W15" s="77" t="s">
        <v>68</v>
      </c>
      <c r="X15" s="77" t="s">
        <v>44</v>
      </c>
      <c r="Y15" s="82"/>
      <c r="Z15" s="2"/>
      <c r="AA15" s="2"/>
      <c r="AB15" s="2"/>
      <c r="AC15" s="2"/>
      <c r="AD15" s="2"/>
      <c r="AE15" s="2"/>
      <c r="AF15" s="2"/>
      <c r="AG15" s="2"/>
      <c r="AH15" s="2"/>
    </row>
    <row r="16" spans="1:34">
      <c r="A16" s="1"/>
      <c r="B16" s="76">
        <v>45747</v>
      </c>
      <c r="C16" s="77" t="s">
        <v>69</v>
      </c>
      <c r="D16" s="77" t="s">
        <v>70</v>
      </c>
      <c r="E16" s="77" t="s">
        <v>71</v>
      </c>
      <c r="F16" s="77" t="b">
        <v>1</v>
      </c>
      <c r="G16" s="78"/>
      <c r="H16" s="78">
        <v>1</v>
      </c>
      <c r="I16" s="78"/>
      <c r="J16" s="78"/>
      <c r="K16" s="78"/>
      <c r="L16" s="78"/>
      <c r="M16" s="79">
        <f t="shared" si="0"/>
        <v>1</v>
      </c>
      <c r="N16" s="77" t="s">
        <v>41</v>
      </c>
      <c r="O16" s="77" t="s">
        <v>28</v>
      </c>
      <c r="P16" s="77" t="s">
        <v>42</v>
      </c>
      <c r="Q16" s="80">
        <v>85400</v>
      </c>
      <c r="R16" s="77" t="b">
        <v>1</v>
      </c>
      <c r="S16" s="77" t="b">
        <v>1</v>
      </c>
      <c r="T16" s="76">
        <v>45750</v>
      </c>
      <c r="U16" s="81">
        <v>45750</v>
      </c>
      <c r="V16" s="77" t="s">
        <v>36</v>
      </c>
      <c r="W16" s="77" t="s">
        <v>72</v>
      </c>
      <c r="X16" s="77" t="s">
        <v>44</v>
      </c>
      <c r="Y16" s="82"/>
      <c r="Z16" s="2"/>
      <c r="AA16" s="2"/>
      <c r="AB16" s="2"/>
      <c r="AC16" s="2"/>
      <c r="AD16" s="2"/>
      <c r="AE16" s="2"/>
      <c r="AF16" s="2"/>
      <c r="AG16" s="2"/>
      <c r="AH16" s="2"/>
    </row>
    <row r="17" spans="1:34">
      <c r="A17" s="1"/>
      <c r="B17" s="76">
        <v>45750</v>
      </c>
      <c r="C17" s="77" t="s">
        <v>73</v>
      </c>
      <c r="D17" s="77" t="s">
        <v>74</v>
      </c>
      <c r="E17" s="77" t="s">
        <v>75</v>
      </c>
      <c r="F17" s="77" t="b">
        <v>1</v>
      </c>
      <c r="G17" s="78"/>
      <c r="H17" s="78"/>
      <c r="I17" s="78">
        <v>1</v>
      </c>
      <c r="J17" s="78"/>
      <c r="K17" s="78"/>
      <c r="L17" s="78"/>
      <c r="M17" s="79">
        <f t="shared" si="0"/>
        <v>1</v>
      </c>
      <c r="N17" s="77" t="s">
        <v>41</v>
      </c>
      <c r="O17" s="77" t="s">
        <v>28</v>
      </c>
      <c r="P17" s="77" t="s">
        <v>42</v>
      </c>
      <c r="Q17" s="80">
        <v>39200</v>
      </c>
      <c r="R17" s="77" t="b">
        <v>1</v>
      </c>
      <c r="S17" s="77" t="b">
        <v>1</v>
      </c>
      <c r="T17" s="76">
        <v>45751</v>
      </c>
      <c r="U17" s="81">
        <v>45751</v>
      </c>
      <c r="V17" s="77" t="s">
        <v>36</v>
      </c>
      <c r="W17" s="77" t="s">
        <v>76</v>
      </c>
      <c r="X17" s="77" t="s">
        <v>44</v>
      </c>
      <c r="Y17" s="82"/>
      <c r="Z17" s="2"/>
      <c r="AA17" s="2"/>
      <c r="AB17" s="2"/>
      <c r="AC17" s="2"/>
      <c r="AD17" s="2"/>
      <c r="AE17" s="2"/>
      <c r="AF17" s="2"/>
      <c r="AG17" s="2"/>
      <c r="AH17" s="2"/>
    </row>
    <row r="18" spans="1:34">
      <c r="A18" s="1"/>
      <c r="B18" s="76">
        <v>45755</v>
      </c>
      <c r="C18" s="77" t="s">
        <v>77</v>
      </c>
      <c r="D18" s="77" t="s">
        <v>77</v>
      </c>
      <c r="E18" s="77" t="s">
        <v>78</v>
      </c>
      <c r="F18" s="77" t="b">
        <v>1</v>
      </c>
      <c r="G18" s="78"/>
      <c r="H18" s="78">
        <v>5</v>
      </c>
      <c r="I18" s="78"/>
      <c r="J18" s="78"/>
      <c r="K18" s="78"/>
      <c r="L18" s="78"/>
      <c r="M18" s="79">
        <f t="shared" si="0"/>
        <v>5</v>
      </c>
      <c r="N18" s="77" t="s">
        <v>41</v>
      </c>
      <c r="O18" s="77" t="s">
        <v>28</v>
      </c>
      <c r="P18" s="77" t="s">
        <v>42</v>
      </c>
      <c r="Q18" s="80">
        <v>191000</v>
      </c>
      <c r="R18" s="77" t="b">
        <v>1</v>
      </c>
      <c r="S18" s="77" t="b">
        <v>1</v>
      </c>
      <c r="T18" s="76">
        <v>45756</v>
      </c>
      <c r="U18" s="81">
        <v>45756</v>
      </c>
      <c r="V18" s="77" t="s">
        <v>36</v>
      </c>
      <c r="W18" s="77" t="s">
        <v>79</v>
      </c>
      <c r="X18" s="77" t="s">
        <v>44</v>
      </c>
      <c r="Y18" s="82"/>
      <c r="Z18" s="3" t="s">
        <v>80</v>
      </c>
      <c r="AA18" s="2"/>
      <c r="AB18" s="2"/>
      <c r="AC18" s="2"/>
      <c r="AD18" s="2"/>
      <c r="AE18" s="2"/>
      <c r="AF18" s="2"/>
      <c r="AG18" s="2"/>
      <c r="AH18" s="2"/>
    </row>
    <row r="19" spans="1:34">
      <c r="A19" s="1"/>
      <c r="B19" s="76">
        <v>45761</v>
      </c>
      <c r="C19" s="77" t="s">
        <v>81</v>
      </c>
      <c r="D19" s="77" t="s">
        <v>82</v>
      </c>
      <c r="E19" s="77" t="s">
        <v>83</v>
      </c>
      <c r="F19" s="77" t="b">
        <v>1</v>
      </c>
      <c r="G19" s="78"/>
      <c r="H19" s="78"/>
      <c r="I19" s="78">
        <v>1</v>
      </c>
      <c r="J19" s="78"/>
      <c r="K19" s="78"/>
      <c r="L19" s="78"/>
      <c r="M19" s="79">
        <f t="shared" si="0"/>
        <v>1</v>
      </c>
      <c r="N19" s="77" t="s">
        <v>41</v>
      </c>
      <c r="O19" s="77" t="s">
        <v>28</v>
      </c>
      <c r="P19" s="77" t="s">
        <v>29</v>
      </c>
      <c r="Q19" s="80">
        <v>33000</v>
      </c>
      <c r="R19" s="77" t="b">
        <v>1</v>
      </c>
      <c r="S19" s="77" t="b">
        <v>1</v>
      </c>
      <c r="T19" s="76">
        <v>45762</v>
      </c>
      <c r="U19" s="81">
        <v>45762</v>
      </c>
      <c r="V19" s="77" t="s">
        <v>36</v>
      </c>
      <c r="W19" s="77" t="s">
        <v>84</v>
      </c>
      <c r="X19" s="77" t="s">
        <v>85</v>
      </c>
      <c r="Y19" s="82"/>
      <c r="Z19" s="2"/>
      <c r="AA19" s="2"/>
      <c r="AB19" s="2"/>
      <c r="AC19" s="2"/>
      <c r="AD19" s="2"/>
      <c r="AE19" s="2"/>
      <c r="AF19" s="2"/>
      <c r="AG19" s="2"/>
      <c r="AH19" s="2"/>
    </row>
    <row r="20" spans="1:34">
      <c r="A20" s="1"/>
      <c r="B20" s="76">
        <v>45772</v>
      </c>
      <c r="C20" s="77" t="s">
        <v>77</v>
      </c>
      <c r="D20" s="77" t="s">
        <v>86</v>
      </c>
      <c r="E20" s="77" t="s">
        <v>87</v>
      </c>
      <c r="F20" s="77" t="b">
        <v>1</v>
      </c>
      <c r="G20" s="78"/>
      <c r="H20" s="78">
        <v>5</v>
      </c>
      <c r="I20" s="78"/>
      <c r="J20" s="78"/>
      <c r="K20" s="78"/>
      <c r="L20" s="78"/>
      <c r="M20" s="79">
        <f t="shared" si="0"/>
        <v>5</v>
      </c>
      <c r="N20" s="77" t="s">
        <v>41</v>
      </c>
      <c r="O20" s="77" t="s">
        <v>28</v>
      </c>
      <c r="P20" s="77" t="s">
        <v>88</v>
      </c>
      <c r="Q20" s="80">
        <v>228400</v>
      </c>
      <c r="R20" s="77" t="b">
        <v>1</v>
      </c>
      <c r="S20" s="77" t="b">
        <v>1</v>
      </c>
      <c r="T20" s="76">
        <v>45775</v>
      </c>
      <c r="U20" s="81">
        <v>45775</v>
      </c>
      <c r="V20" s="77" t="s">
        <v>36</v>
      </c>
      <c r="W20" s="77" t="s">
        <v>89</v>
      </c>
      <c r="X20" s="77" t="s">
        <v>44</v>
      </c>
      <c r="Y20" s="82"/>
      <c r="Z20" s="2"/>
      <c r="AA20" s="2"/>
      <c r="AB20" s="2"/>
      <c r="AC20" s="2"/>
      <c r="AD20" s="2"/>
      <c r="AE20" s="2"/>
      <c r="AF20" s="2"/>
      <c r="AG20" s="2"/>
      <c r="AH20" s="2"/>
    </row>
    <row r="21" spans="1:34">
      <c r="A21" s="1"/>
      <c r="B21" s="76">
        <v>45772</v>
      </c>
      <c r="C21" s="77" t="s">
        <v>46</v>
      </c>
      <c r="D21" s="77" t="s">
        <v>47</v>
      </c>
      <c r="E21" s="77" t="s">
        <v>48</v>
      </c>
      <c r="F21" s="77" t="b">
        <v>1</v>
      </c>
      <c r="G21" s="78"/>
      <c r="H21" s="78">
        <v>1</v>
      </c>
      <c r="I21" s="78"/>
      <c r="J21" s="78"/>
      <c r="K21" s="78"/>
      <c r="L21" s="78"/>
      <c r="M21" s="79">
        <f t="shared" si="0"/>
        <v>1</v>
      </c>
      <c r="N21" s="77" t="s">
        <v>41</v>
      </c>
      <c r="O21" s="77" t="s">
        <v>90</v>
      </c>
      <c r="P21" s="77" t="s">
        <v>29</v>
      </c>
      <c r="Q21" s="80">
        <v>108900</v>
      </c>
      <c r="R21" s="77" t="b">
        <v>1</v>
      </c>
      <c r="S21" s="77" t="b">
        <v>1</v>
      </c>
      <c r="T21" s="76">
        <v>45776</v>
      </c>
      <c r="U21" s="81">
        <v>45776</v>
      </c>
      <c r="V21" s="77" t="s">
        <v>54</v>
      </c>
      <c r="W21" s="77" t="s">
        <v>49</v>
      </c>
      <c r="X21" s="77" t="s">
        <v>32</v>
      </c>
      <c r="Y21" s="82"/>
      <c r="Z21" s="2"/>
      <c r="AA21" s="2"/>
      <c r="AB21" s="2"/>
      <c r="AC21" s="2"/>
      <c r="AD21" s="2"/>
      <c r="AE21" s="2"/>
      <c r="AF21" s="2"/>
      <c r="AG21" s="2"/>
      <c r="AH21" s="2"/>
    </row>
    <row r="22" spans="1:34">
      <c r="A22" s="1"/>
      <c r="B22" s="76">
        <v>45783</v>
      </c>
      <c r="C22" s="77" t="s">
        <v>91</v>
      </c>
      <c r="D22" s="77" t="s">
        <v>91</v>
      </c>
      <c r="E22" s="77" t="s">
        <v>92</v>
      </c>
      <c r="F22" s="77" t="b">
        <v>1</v>
      </c>
      <c r="G22" s="78"/>
      <c r="H22" s="78"/>
      <c r="I22" s="78">
        <v>1</v>
      </c>
      <c r="J22" s="78"/>
      <c r="K22" s="78"/>
      <c r="L22" s="78"/>
      <c r="M22" s="79">
        <f t="shared" si="0"/>
        <v>1</v>
      </c>
      <c r="N22" s="77" t="s">
        <v>27</v>
      </c>
      <c r="O22" s="77" t="s">
        <v>28</v>
      </c>
      <c r="P22" s="77" t="s">
        <v>42</v>
      </c>
      <c r="Q22" s="80">
        <v>50600</v>
      </c>
      <c r="R22" s="77" t="b">
        <v>1</v>
      </c>
      <c r="S22" s="77" t="b">
        <v>1</v>
      </c>
      <c r="T22" s="76">
        <v>45784</v>
      </c>
      <c r="U22" s="81">
        <v>45784</v>
      </c>
      <c r="V22" s="77" t="s">
        <v>54</v>
      </c>
      <c r="W22" s="77" t="s">
        <v>93</v>
      </c>
      <c r="X22" s="77" t="s">
        <v>44</v>
      </c>
      <c r="Y22" s="82"/>
      <c r="Z22" s="2"/>
      <c r="AA22" s="2"/>
      <c r="AB22" s="2"/>
      <c r="AC22" s="2"/>
      <c r="AD22" s="2"/>
      <c r="AE22" s="2"/>
      <c r="AF22" s="2"/>
      <c r="AG22" s="2"/>
      <c r="AH22" s="2"/>
    </row>
    <row r="23" spans="1:34">
      <c r="A23" s="1"/>
      <c r="B23" s="76">
        <v>45785</v>
      </c>
      <c r="C23" s="77" t="s">
        <v>94</v>
      </c>
      <c r="D23" s="77" t="s">
        <v>95</v>
      </c>
      <c r="E23" s="77" t="s">
        <v>96</v>
      </c>
      <c r="F23" s="77" t="b">
        <v>1</v>
      </c>
      <c r="G23" s="78"/>
      <c r="H23" s="78">
        <v>2</v>
      </c>
      <c r="I23" s="78">
        <v>2</v>
      </c>
      <c r="J23" s="78"/>
      <c r="K23" s="78"/>
      <c r="L23" s="78"/>
      <c r="M23" s="79">
        <f t="shared" si="0"/>
        <v>4</v>
      </c>
      <c r="N23" s="77" t="s">
        <v>27</v>
      </c>
      <c r="O23" s="77" t="s">
        <v>90</v>
      </c>
      <c r="P23" s="77" t="s">
        <v>29</v>
      </c>
      <c r="Q23" s="80">
        <v>193600</v>
      </c>
      <c r="R23" s="77" t="b">
        <v>1</v>
      </c>
      <c r="S23" s="77" t="b">
        <v>1</v>
      </c>
      <c r="T23" s="76">
        <v>45791</v>
      </c>
      <c r="U23" s="81">
        <v>45791</v>
      </c>
      <c r="V23" s="77" t="s">
        <v>36</v>
      </c>
      <c r="W23" s="77" t="s">
        <v>97</v>
      </c>
      <c r="X23" s="77" t="s">
        <v>32</v>
      </c>
      <c r="Y23" s="82"/>
      <c r="Z23" s="2"/>
      <c r="AA23" s="2"/>
      <c r="AB23" s="2"/>
      <c r="AC23" s="2"/>
      <c r="AD23" s="2"/>
      <c r="AE23" s="2"/>
      <c r="AF23" s="2"/>
      <c r="AG23" s="2"/>
      <c r="AH23" s="2"/>
    </row>
    <row r="24" spans="1:34">
      <c r="A24" s="1"/>
      <c r="B24" s="76">
        <v>45790</v>
      </c>
      <c r="C24" s="77" t="s">
        <v>77</v>
      </c>
      <c r="D24" s="77" t="s">
        <v>86</v>
      </c>
      <c r="E24" s="77" t="s">
        <v>98</v>
      </c>
      <c r="F24" s="77" t="b">
        <v>1</v>
      </c>
      <c r="G24" s="78"/>
      <c r="H24" s="78">
        <v>14</v>
      </c>
      <c r="I24" s="78"/>
      <c r="J24" s="78"/>
      <c r="K24" s="78"/>
      <c r="L24" s="78"/>
      <c r="M24" s="79">
        <f t="shared" si="0"/>
        <v>14</v>
      </c>
      <c r="N24" s="77" t="s">
        <v>67</v>
      </c>
      <c r="O24" s="77" t="s">
        <v>28</v>
      </c>
      <c r="P24" s="77" t="s">
        <v>29</v>
      </c>
      <c r="Q24" s="80">
        <v>780000</v>
      </c>
      <c r="R24" s="77" t="b">
        <v>1</v>
      </c>
      <c r="S24" s="77" t="b">
        <v>1</v>
      </c>
      <c r="T24" s="76">
        <v>45796</v>
      </c>
      <c r="U24" s="81">
        <v>45796</v>
      </c>
      <c r="V24" s="77" t="s">
        <v>36</v>
      </c>
      <c r="W24" s="77" t="s">
        <v>99</v>
      </c>
      <c r="X24" s="77" t="s">
        <v>32</v>
      </c>
      <c r="Y24" s="82"/>
      <c r="Z24" s="2"/>
      <c r="AA24" s="2"/>
      <c r="AB24" s="2"/>
      <c r="AC24" s="2"/>
      <c r="AD24" s="2"/>
      <c r="AE24" s="2"/>
      <c r="AF24" s="2"/>
      <c r="AG24" s="2"/>
      <c r="AH24" s="2"/>
    </row>
    <row r="25" spans="1:34">
      <c r="A25" s="1"/>
      <c r="B25" s="76">
        <v>45888</v>
      </c>
      <c r="C25" s="77" t="s">
        <v>77</v>
      </c>
      <c r="D25" s="77" t="s">
        <v>77</v>
      </c>
      <c r="E25" s="77" t="s">
        <v>100</v>
      </c>
      <c r="F25" s="77" t="b">
        <v>1</v>
      </c>
      <c r="G25" s="83"/>
      <c r="H25" s="83">
        <v>1</v>
      </c>
      <c r="I25" s="83"/>
      <c r="J25" s="83"/>
      <c r="K25" s="83"/>
      <c r="L25" s="83"/>
      <c r="M25" s="79">
        <f t="shared" si="0"/>
        <v>1</v>
      </c>
      <c r="N25" s="84" t="s">
        <v>41</v>
      </c>
      <c r="O25" s="84" t="s">
        <v>28</v>
      </c>
      <c r="P25" s="84" t="s">
        <v>88</v>
      </c>
      <c r="Q25" s="85">
        <v>37000</v>
      </c>
      <c r="R25" s="86" t="b">
        <v>1</v>
      </c>
      <c r="S25" s="86" t="b">
        <v>1</v>
      </c>
      <c r="T25" s="76">
        <v>45890</v>
      </c>
      <c r="U25" s="87">
        <v>45890</v>
      </c>
      <c r="V25" s="84" t="s">
        <v>36</v>
      </c>
      <c r="W25" s="77" t="s">
        <v>99</v>
      </c>
      <c r="X25" s="84" t="s">
        <v>44</v>
      </c>
      <c r="Y25" s="88"/>
      <c r="Z25" s="2"/>
      <c r="AA25" s="2"/>
      <c r="AB25" s="2"/>
      <c r="AC25" s="2"/>
      <c r="AD25" s="2"/>
      <c r="AE25" s="2"/>
      <c r="AF25" s="2"/>
      <c r="AG25" s="2"/>
      <c r="AH25" s="2"/>
    </row>
    <row r="26" spans="1:34">
      <c r="A26" s="1"/>
      <c r="B26" s="76">
        <v>45980</v>
      </c>
      <c r="C26" s="77" t="s">
        <v>101</v>
      </c>
      <c r="D26" s="77" t="s">
        <v>102</v>
      </c>
      <c r="E26" s="77" t="s">
        <v>103</v>
      </c>
      <c r="F26" s="77" t="b">
        <v>1</v>
      </c>
      <c r="G26" s="78"/>
      <c r="H26" s="78"/>
      <c r="I26" s="78"/>
      <c r="J26" s="78"/>
      <c r="K26" s="78">
        <v>100</v>
      </c>
      <c r="L26" s="78"/>
      <c r="M26" s="79">
        <f t="shared" si="0"/>
        <v>100</v>
      </c>
      <c r="N26" s="77" t="s">
        <v>27</v>
      </c>
      <c r="O26" s="77" t="s">
        <v>28</v>
      </c>
      <c r="P26" s="77" t="s">
        <v>29</v>
      </c>
      <c r="Q26" s="80">
        <v>605000</v>
      </c>
      <c r="R26" s="89" t="b">
        <v>1</v>
      </c>
      <c r="S26" s="89" t="b">
        <v>1</v>
      </c>
      <c r="T26" s="76">
        <v>45987</v>
      </c>
      <c r="U26" s="81">
        <v>45987</v>
      </c>
      <c r="V26" s="77" t="s">
        <v>104</v>
      </c>
      <c r="W26" s="77" t="s">
        <v>105</v>
      </c>
      <c r="X26" s="77" t="s">
        <v>32</v>
      </c>
      <c r="Y26" s="82"/>
      <c r="Z26" s="2"/>
      <c r="AA26" s="2"/>
      <c r="AB26" s="2"/>
      <c r="AC26" s="2"/>
      <c r="AD26" s="2"/>
      <c r="AE26" s="2"/>
      <c r="AF26" s="2"/>
      <c r="AG26" s="2"/>
      <c r="AH26" s="2"/>
    </row>
    <row r="27" spans="1:34">
      <c r="A27" s="1"/>
      <c r="B27" s="76">
        <v>46135</v>
      </c>
      <c r="C27" s="77" t="s">
        <v>106</v>
      </c>
      <c r="D27" s="77" t="s">
        <v>107</v>
      </c>
      <c r="E27" s="77" t="s">
        <v>227</v>
      </c>
      <c r="F27" s="77" t="b">
        <v>1</v>
      </c>
      <c r="G27" s="78"/>
      <c r="H27" s="78"/>
      <c r="I27" s="78"/>
      <c r="J27" s="78"/>
      <c r="K27" s="78"/>
      <c r="L27" s="78">
        <v>1</v>
      </c>
      <c r="M27" s="79">
        <f t="shared" si="0"/>
        <v>1</v>
      </c>
      <c r="N27" s="77" t="s">
        <v>67</v>
      </c>
      <c r="O27" s="77" t="s">
        <v>28</v>
      </c>
      <c r="P27" s="77" t="s">
        <v>29</v>
      </c>
      <c r="Q27" s="80">
        <v>330000</v>
      </c>
      <c r="R27" s="77" t="b">
        <v>0</v>
      </c>
      <c r="S27" s="77" t="b">
        <v>1</v>
      </c>
      <c r="T27" s="76">
        <v>46081</v>
      </c>
      <c r="U27" s="81">
        <v>46081</v>
      </c>
      <c r="V27" s="77" t="s">
        <v>104</v>
      </c>
      <c r="W27" s="77" t="s">
        <v>105</v>
      </c>
      <c r="X27" s="77" t="s">
        <v>32</v>
      </c>
      <c r="Y27" s="82"/>
      <c r="Z27" s="2"/>
      <c r="AA27" s="2"/>
      <c r="AB27" s="2"/>
      <c r="AC27" s="2"/>
      <c r="AD27" s="2"/>
      <c r="AE27" s="2"/>
      <c r="AF27" s="2"/>
      <c r="AG27" s="2"/>
      <c r="AH27" s="2"/>
    </row>
    <row r="28" spans="1:34">
      <c r="A28" s="1"/>
      <c r="B28" s="76">
        <v>46135</v>
      </c>
      <c r="C28" s="77" t="s">
        <v>106</v>
      </c>
      <c r="D28" s="77" t="s">
        <v>107</v>
      </c>
      <c r="E28" s="77" t="s">
        <v>228</v>
      </c>
      <c r="F28" s="77" t="b">
        <v>1</v>
      </c>
      <c r="G28" s="78"/>
      <c r="H28" s="78"/>
      <c r="I28" s="78"/>
      <c r="J28" s="78"/>
      <c r="K28" s="78"/>
      <c r="L28" s="78">
        <v>1</v>
      </c>
      <c r="M28" s="79">
        <f t="shared" si="0"/>
        <v>1</v>
      </c>
      <c r="N28" s="77" t="s">
        <v>67</v>
      </c>
      <c r="O28" s="77" t="s">
        <v>28</v>
      </c>
      <c r="P28" s="77" t="s">
        <v>29</v>
      </c>
      <c r="Q28" s="80">
        <v>1100000</v>
      </c>
      <c r="R28" s="77" t="b">
        <v>0</v>
      </c>
      <c r="S28" s="77" t="b">
        <v>1</v>
      </c>
      <c r="T28" s="76">
        <v>46135</v>
      </c>
      <c r="U28" s="81">
        <v>46135</v>
      </c>
      <c r="V28" s="77" t="s">
        <v>104</v>
      </c>
      <c r="W28" s="77" t="s">
        <v>105</v>
      </c>
      <c r="X28" s="77" t="s">
        <v>32</v>
      </c>
      <c r="Y28" s="82"/>
      <c r="Z28" s="2"/>
      <c r="AA28" s="2"/>
      <c r="AB28" s="2"/>
      <c r="AC28" s="2"/>
      <c r="AD28" s="2"/>
      <c r="AE28" s="2"/>
      <c r="AF28" s="2"/>
      <c r="AG28" s="2"/>
      <c r="AH28" s="2"/>
    </row>
    <row r="29" spans="1:34">
      <c r="A29" s="1"/>
      <c r="B29" s="76"/>
      <c r="C29" s="77"/>
      <c r="D29" s="77"/>
      <c r="E29" s="77"/>
      <c r="F29" s="77"/>
      <c r="G29" s="78"/>
      <c r="H29" s="78"/>
      <c r="I29" s="78"/>
      <c r="J29" s="78"/>
      <c r="K29" s="78"/>
      <c r="L29" s="78"/>
      <c r="M29" s="79"/>
      <c r="N29" s="77"/>
      <c r="O29" s="77"/>
      <c r="P29" s="77"/>
      <c r="Q29" s="80"/>
      <c r="R29" s="77"/>
      <c r="S29" s="77"/>
      <c r="T29" s="76"/>
      <c r="U29" s="81"/>
      <c r="V29" s="77"/>
      <c r="W29" s="77"/>
      <c r="X29" s="77"/>
      <c r="Y29" s="82"/>
      <c r="Z29" s="2"/>
      <c r="AA29" s="2"/>
      <c r="AB29" s="2"/>
      <c r="AC29" s="2"/>
      <c r="AD29" s="2"/>
      <c r="AE29" s="2"/>
      <c r="AF29" s="2"/>
      <c r="AG29" s="2"/>
      <c r="AH29" s="2"/>
    </row>
    <row r="30" spans="1:34">
      <c r="A30" s="1"/>
      <c r="B30" s="76"/>
      <c r="C30" s="77"/>
      <c r="D30" s="77"/>
      <c r="E30" s="77"/>
      <c r="F30" s="77"/>
      <c r="G30" s="78"/>
      <c r="H30" s="78"/>
      <c r="I30" s="78"/>
      <c r="J30" s="78"/>
      <c r="K30" s="78"/>
      <c r="L30" s="78"/>
      <c r="M30" s="79"/>
      <c r="N30" s="77"/>
      <c r="O30" s="77"/>
      <c r="P30" s="77"/>
      <c r="Q30" s="80"/>
      <c r="R30" s="77"/>
      <c r="S30" s="77"/>
      <c r="T30" s="76"/>
      <c r="U30" s="81"/>
      <c r="V30" s="77"/>
      <c r="W30" s="77"/>
      <c r="X30" s="77"/>
      <c r="Y30" s="82"/>
      <c r="Z30" s="2"/>
      <c r="AA30" s="2"/>
      <c r="AB30" s="2"/>
      <c r="AC30" s="2"/>
      <c r="AD30" s="2"/>
      <c r="AE30" s="2"/>
      <c r="AF30" s="2"/>
      <c r="AG30" s="2"/>
      <c r="AH30" s="2"/>
    </row>
    <row r="31" spans="1:34">
      <c r="A31" s="1"/>
      <c r="B31" s="76"/>
      <c r="C31" s="77"/>
      <c r="D31" s="77"/>
      <c r="E31" s="77"/>
      <c r="F31" s="77"/>
      <c r="G31" s="78"/>
      <c r="H31" s="78"/>
      <c r="I31" s="78"/>
      <c r="J31" s="78"/>
      <c r="K31" s="78"/>
      <c r="L31" s="78"/>
      <c r="M31" s="79"/>
      <c r="N31" s="77"/>
      <c r="O31" s="77"/>
      <c r="P31" s="77"/>
      <c r="Q31" s="80"/>
      <c r="R31" s="77"/>
      <c r="S31" s="77"/>
      <c r="T31" s="76"/>
      <c r="U31" s="81"/>
      <c r="V31" s="77"/>
      <c r="W31" s="77"/>
      <c r="X31" s="77"/>
      <c r="Y31" s="82"/>
      <c r="Z31" s="2"/>
      <c r="AA31" s="2"/>
      <c r="AB31" s="2"/>
      <c r="AC31" s="2"/>
      <c r="AD31" s="2"/>
      <c r="AE31" s="2"/>
      <c r="AF31" s="2"/>
      <c r="AG31" s="2"/>
      <c r="AH31" s="2"/>
    </row>
    <row r="32" spans="1:34">
      <c r="A32" s="1"/>
      <c r="B32" s="90"/>
      <c r="C32" s="84"/>
      <c r="D32" s="84"/>
      <c r="E32" s="84"/>
      <c r="F32" s="86"/>
      <c r="G32" s="83"/>
      <c r="H32" s="83"/>
      <c r="I32" s="83"/>
      <c r="J32" s="83"/>
      <c r="K32" s="83"/>
      <c r="L32" s="83"/>
      <c r="M32" s="79"/>
      <c r="N32" s="84"/>
      <c r="O32" s="84"/>
      <c r="P32" s="84"/>
      <c r="Q32" s="85"/>
      <c r="R32" s="86"/>
      <c r="S32" s="86"/>
      <c r="T32" s="90"/>
      <c r="U32" s="87"/>
      <c r="V32" s="84"/>
      <c r="W32" s="84"/>
      <c r="X32" s="84"/>
      <c r="Y32" s="88"/>
      <c r="Z32" s="2"/>
      <c r="AA32" s="2"/>
      <c r="AB32" s="2"/>
      <c r="AC32" s="2"/>
      <c r="AD32" s="2"/>
      <c r="AE32" s="2"/>
      <c r="AF32" s="2"/>
      <c r="AG32" s="2"/>
      <c r="AH32" s="2"/>
    </row>
    <row r="33" spans="1:34">
      <c r="A33" s="1"/>
      <c r="B33" s="76"/>
      <c r="C33" s="77"/>
      <c r="D33" s="77"/>
      <c r="E33" s="77"/>
      <c r="F33" s="89"/>
      <c r="G33" s="78"/>
      <c r="H33" s="78"/>
      <c r="I33" s="78"/>
      <c r="J33" s="78"/>
      <c r="K33" s="78"/>
      <c r="L33" s="78"/>
      <c r="M33" s="79"/>
      <c r="N33" s="77"/>
      <c r="O33" s="77"/>
      <c r="P33" s="77"/>
      <c r="Q33" s="80"/>
      <c r="R33" s="89"/>
      <c r="S33" s="89"/>
      <c r="T33" s="76"/>
      <c r="U33" s="81"/>
      <c r="V33" s="77"/>
      <c r="W33" s="77"/>
      <c r="X33" s="77"/>
      <c r="Y33" s="82"/>
      <c r="Z33" s="2"/>
      <c r="AA33" s="2"/>
      <c r="AB33" s="2"/>
      <c r="AC33" s="2"/>
      <c r="AD33" s="2"/>
      <c r="AE33" s="2"/>
      <c r="AF33" s="2"/>
      <c r="AG33" s="2"/>
      <c r="AH33" s="2"/>
    </row>
    <row r="34" spans="1:34">
      <c r="A34" s="1"/>
      <c r="B34" s="76"/>
      <c r="C34" s="77"/>
      <c r="D34" s="77"/>
      <c r="E34" s="77"/>
      <c r="F34" s="89"/>
      <c r="G34" s="78"/>
      <c r="H34" s="78"/>
      <c r="I34" s="78"/>
      <c r="J34" s="78"/>
      <c r="K34" s="78"/>
      <c r="L34" s="78"/>
      <c r="M34" s="79"/>
      <c r="N34" s="77"/>
      <c r="O34" s="77"/>
      <c r="P34" s="77"/>
      <c r="Q34" s="80"/>
      <c r="R34" s="89"/>
      <c r="S34" s="89"/>
      <c r="T34" s="76"/>
      <c r="U34" s="81"/>
      <c r="V34" s="77"/>
      <c r="W34" s="77"/>
      <c r="X34" s="77"/>
      <c r="Y34" s="82"/>
      <c r="Z34" s="2"/>
      <c r="AA34" s="2"/>
      <c r="AB34" s="2"/>
      <c r="AC34" s="2"/>
      <c r="AD34" s="2"/>
      <c r="AE34" s="2"/>
      <c r="AF34" s="2"/>
      <c r="AG34" s="2"/>
      <c r="AH34" s="2"/>
    </row>
    <row r="35" spans="1:34">
      <c r="A35" s="1"/>
      <c r="B35" s="76"/>
      <c r="C35" s="77"/>
      <c r="D35" s="77"/>
      <c r="E35" s="77"/>
      <c r="F35" s="89"/>
      <c r="G35" s="78"/>
      <c r="H35" s="78"/>
      <c r="I35" s="78"/>
      <c r="J35" s="78"/>
      <c r="K35" s="78"/>
      <c r="L35" s="78"/>
      <c r="M35" s="79"/>
      <c r="N35" s="77"/>
      <c r="O35" s="77"/>
      <c r="P35" s="77"/>
      <c r="Q35" s="80"/>
      <c r="R35" s="89"/>
      <c r="S35" s="89"/>
      <c r="T35" s="76"/>
      <c r="U35" s="81"/>
      <c r="V35" s="77"/>
      <c r="W35" s="77"/>
      <c r="X35" s="77"/>
      <c r="Y35" s="82"/>
      <c r="Z35" s="2"/>
      <c r="AA35" s="2"/>
      <c r="AB35" s="2"/>
      <c r="AC35" s="2"/>
      <c r="AD35" s="2"/>
      <c r="AE35" s="2"/>
      <c r="AF35" s="2"/>
      <c r="AG35" s="2"/>
      <c r="AH35" s="2"/>
    </row>
    <row r="36" spans="1:34"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4"/>
      <c r="S36" s="64"/>
      <c r="T36" s="66"/>
      <c r="U36" s="66"/>
      <c r="V36" s="66"/>
      <c r="W36" s="66"/>
      <c r="X36" s="66"/>
      <c r="Y36" s="66"/>
    </row>
    <row r="37" spans="1:34"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5"/>
      <c r="R37" s="64"/>
      <c r="S37" s="64"/>
      <c r="T37" s="66"/>
      <c r="U37" s="66"/>
      <c r="V37" s="66"/>
      <c r="W37" s="66"/>
      <c r="X37" s="66"/>
      <c r="Y37" s="66"/>
    </row>
    <row r="38" spans="1:34"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5"/>
      <c r="R38" s="64"/>
      <c r="S38" s="64"/>
      <c r="T38" s="66"/>
      <c r="U38" s="66"/>
      <c r="V38" s="66"/>
      <c r="W38" s="66"/>
      <c r="X38" s="66"/>
      <c r="Y38" s="66"/>
    </row>
    <row r="39" spans="1:34"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5"/>
      <c r="R39" s="64"/>
      <c r="S39" s="64"/>
      <c r="T39" s="66"/>
      <c r="U39" s="66"/>
      <c r="V39" s="66"/>
      <c r="W39" s="66"/>
      <c r="X39" s="66"/>
      <c r="Y39" s="66"/>
    </row>
    <row r="40" spans="1:34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5"/>
      <c r="R40" s="64"/>
      <c r="S40" s="64"/>
      <c r="T40" s="66"/>
      <c r="U40" s="66"/>
      <c r="V40" s="66"/>
      <c r="W40" s="66"/>
      <c r="X40" s="66"/>
      <c r="Y40" s="66"/>
    </row>
    <row r="41" spans="1:34"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5"/>
      <c r="R41" s="64"/>
      <c r="S41" s="64"/>
      <c r="T41" s="66"/>
      <c r="U41" s="66"/>
      <c r="V41" s="66"/>
      <c r="W41" s="66"/>
      <c r="X41" s="66"/>
      <c r="Y41" s="66"/>
    </row>
    <row r="42" spans="1:34"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5"/>
      <c r="R42" s="64"/>
      <c r="S42" s="64"/>
      <c r="T42" s="66"/>
      <c r="U42" s="66"/>
      <c r="V42" s="66"/>
      <c r="W42" s="66"/>
      <c r="X42" s="66"/>
      <c r="Y42" s="66"/>
    </row>
    <row r="43" spans="1:34"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5"/>
      <c r="R43" s="64"/>
      <c r="S43" s="64"/>
      <c r="T43" s="66"/>
      <c r="U43" s="66"/>
      <c r="V43" s="66"/>
      <c r="W43" s="66"/>
      <c r="X43" s="66"/>
      <c r="Y43" s="66"/>
    </row>
    <row r="44" spans="1:34"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5"/>
      <c r="R44" s="64"/>
      <c r="S44" s="64"/>
      <c r="T44" s="66"/>
      <c r="U44" s="66"/>
      <c r="V44" s="66"/>
      <c r="W44" s="66"/>
      <c r="X44" s="66"/>
      <c r="Y44" s="66"/>
    </row>
    <row r="45" spans="1:34"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5"/>
      <c r="R45" s="64"/>
      <c r="S45" s="64"/>
      <c r="T45" s="66"/>
      <c r="U45" s="66"/>
      <c r="V45" s="66"/>
      <c r="W45" s="66"/>
      <c r="X45" s="66"/>
      <c r="Y45" s="66"/>
    </row>
    <row r="46" spans="1:34"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5"/>
      <c r="R46" s="64"/>
      <c r="S46" s="64"/>
      <c r="T46" s="66"/>
      <c r="U46" s="66"/>
      <c r="V46" s="66"/>
      <c r="W46" s="66"/>
      <c r="X46" s="66"/>
      <c r="Y46" s="66"/>
    </row>
    <row r="47" spans="1:34"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5"/>
      <c r="R47" s="64"/>
      <c r="S47" s="64"/>
      <c r="T47" s="66"/>
      <c r="U47" s="66"/>
      <c r="V47" s="66"/>
      <c r="W47" s="66"/>
      <c r="X47" s="66"/>
      <c r="Y47" s="66"/>
    </row>
    <row r="48" spans="1:34"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5"/>
      <c r="R48" s="64"/>
      <c r="S48" s="64"/>
      <c r="T48" s="66"/>
      <c r="U48" s="66"/>
      <c r="V48" s="66"/>
      <c r="W48" s="66"/>
      <c r="X48" s="66"/>
      <c r="Y48" s="66"/>
    </row>
    <row r="49" spans="2:25"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5"/>
      <c r="R49" s="64"/>
      <c r="S49" s="64"/>
      <c r="T49" s="66"/>
      <c r="U49" s="66"/>
      <c r="V49" s="66"/>
      <c r="W49" s="66"/>
      <c r="X49" s="66"/>
      <c r="Y49" s="66"/>
    </row>
    <row r="50" spans="2:25"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5"/>
      <c r="R50" s="64"/>
      <c r="S50" s="64"/>
      <c r="T50" s="66"/>
      <c r="U50" s="66"/>
      <c r="V50" s="66"/>
      <c r="W50" s="66"/>
      <c r="X50" s="66"/>
      <c r="Y50" s="66"/>
    </row>
    <row r="51" spans="2:25"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5"/>
      <c r="R51" s="64"/>
      <c r="S51" s="64"/>
      <c r="T51" s="66"/>
      <c r="U51" s="66"/>
      <c r="V51" s="66"/>
      <c r="W51" s="66"/>
      <c r="X51" s="66"/>
      <c r="Y51" s="66"/>
    </row>
    <row r="52" spans="2:25"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5"/>
      <c r="R52" s="64"/>
      <c r="S52" s="64"/>
      <c r="T52" s="66"/>
      <c r="U52" s="66"/>
      <c r="V52" s="66"/>
      <c r="W52" s="66"/>
      <c r="X52" s="66"/>
      <c r="Y52" s="66"/>
    </row>
    <row r="53" spans="2:2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5"/>
      <c r="R53" s="64"/>
      <c r="S53" s="64"/>
      <c r="T53" s="66"/>
      <c r="U53" s="66"/>
      <c r="V53" s="66"/>
      <c r="W53" s="66"/>
      <c r="X53" s="66"/>
      <c r="Y53" s="66"/>
    </row>
    <row r="54" spans="2:25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5"/>
      <c r="R54" s="64"/>
      <c r="S54" s="64"/>
      <c r="T54" s="66"/>
      <c r="U54" s="66"/>
      <c r="V54" s="66"/>
      <c r="W54" s="66"/>
      <c r="X54" s="66"/>
      <c r="Y54" s="66"/>
    </row>
    <row r="55" spans="2:25"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5"/>
      <c r="R55" s="64"/>
      <c r="S55" s="64"/>
      <c r="T55" s="66"/>
      <c r="U55" s="66"/>
      <c r="V55" s="66"/>
      <c r="W55" s="66"/>
      <c r="X55" s="66"/>
      <c r="Y55" s="66"/>
    </row>
    <row r="56" spans="2:25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5"/>
      <c r="R56" s="64"/>
      <c r="S56" s="64"/>
      <c r="T56" s="66"/>
      <c r="U56" s="66"/>
      <c r="V56" s="66"/>
      <c r="W56" s="66"/>
      <c r="X56" s="66"/>
      <c r="Y56" s="66"/>
    </row>
    <row r="57" spans="2:25"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5"/>
      <c r="R57" s="64"/>
      <c r="S57" s="64"/>
      <c r="T57" s="66"/>
      <c r="U57" s="66"/>
      <c r="V57" s="66"/>
      <c r="W57" s="66"/>
      <c r="X57" s="66"/>
      <c r="Y57" s="66"/>
    </row>
    <row r="58" spans="2:25"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5"/>
      <c r="R58" s="64"/>
      <c r="S58" s="64"/>
      <c r="T58" s="66"/>
      <c r="U58" s="66"/>
      <c r="V58" s="66"/>
      <c r="W58" s="66"/>
      <c r="X58" s="66"/>
      <c r="Y58" s="66"/>
    </row>
    <row r="59" spans="2:25"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5"/>
      <c r="R59" s="64"/>
      <c r="S59" s="64"/>
      <c r="T59" s="66"/>
      <c r="U59" s="66"/>
      <c r="V59" s="66"/>
      <c r="W59" s="66"/>
      <c r="X59" s="66"/>
      <c r="Y59" s="66"/>
    </row>
    <row r="60" spans="2:25"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5"/>
      <c r="R60" s="64"/>
      <c r="S60" s="64"/>
      <c r="T60" s="66"/>
      <c r="U60" s="66"/>
      <c r="V60" s="66"/>
      <c r="W60" s="66"/>
      <c r="X60" s="66"/>
      <c r="Y60" s="66"/>
    </row>
    <row r="61" spans="2:25"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5"/>
      <c r="R61" s="64"/>
      <c r="S61" s="64"/>
      <c r="T61" s="66"/>
      <c r="U61" s="66"/>
      <c r="V61" s="66"/>
      <c r="W61" s="66"/>
      <c r="X61" s="66"/>
      <c r="Y61" s="66"/>
    </row>
    <row r="62" spans="2:25"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5"/>
      <c r="R62" s="64"/>
      <c r="S62" s="64"/>
      <c r="T62" s="66"/>
      <c r="U62" s="66"/>
      <c r="V62" s="66"/>
      <c r="W62" s="66"/>
      <c r="X62" s="66"/>
      <c r="Y62" s="66"/>
    </row>
    <row r="63" spans="2:25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5"/>
      <c r="R63" s="64"/>
      <c r="S63" s="64"/>
      <c r="T63" s="66"/>
      <c r="U63" s="66"/>
      <c r="V63" s="66"/>
      <c r="W63" s="66"/>
      <c r="X63" s="66"/>
      <c r="Y63" s="66"/>
    </row>
    <row r="64" spans="2:25"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5"/>
      <c r="R64" s="64"/>
      <c r="S64" s="64"/>
      <c r="T64" s="66"/>
      <c r="U64" s="66"/>
      <c r="V64" s="66"/>
      <c r="W64" s="66"/>
      <c r="X64" s="66"/>
      <c r="Y64" s="66"/>
    </row>
    <row r="65" spans="2:25"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5"/>
      <c r="R65" s="64"/>
      <c r="S65" s="64"/>
      <c r="T65" s="66"/>
      <c r="U65" s="66"/>
      <c r="V65" s="66"/>
      <c r="W65" s="66"/>
      <c r="X65" s="66"/>
      <c r="Y65" s="66"/>
    </row>
    <row r="66" spans="2:25"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5"/>
      <c r="R66" s="64"/>
      <c r="S66" s="64"/>
      <c r="T66" s="66"/>
      <c r="U66" s="66"/>
      <c r="V66" s="66"/>
      <c r="W66" s="66"/>
      <c r="X66" s="66"/>
      <c r="Y66" s="66"/>
    </row>
    <row r="67" spans="2:25"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5"/>
      <c r="R67" s="64"/>
      <c r="S67" s="64"/>
      <c r="T67" s="66"/>
      <c r="U67" s="66"/>
      <c r="V67" s="66"/>
      <c r="W67" s="66"/>
      <c r="X67" s="66"/>
      <c r="Y67" s="66"/>
    </row>
    <row r="68" spans="2:25"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5"/>
      <c r="R68" s="64"/>
      <c r="S68" s="64"/>
      <c r="T68" s="66"/>
      <c r="U68" s="66"/>
      <c r="V68" s="66"/>
      <c r="W68" s="66"/>
      <c r="X68" s="66"/>
      <c r="Y68" s="66"/>
    </row>
    <row r="69" spans="2:25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5"/>
      <c r="R69" s="64"/>
      <c r="S69" s="64"/>
      <c r="T69" s="66"/>
      <c r="U69" s="66"/>
      <c r="V69" s="66"/>
      <c r="W69" s="66"/>
      <c r="X69" s="66"/>
      <c r="Y69" s="66"/>
    </row>
    <row r="70" spans="2:25"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5"/>
      <c r="R70" s="64"/>
      <c r="S70" s="64"/>
      <c r="T70" s="66"/>
      <c r="U70" s="66"/>
      <c r="V70" s="66"/>
      <c r="W70" s="66"/>
      <c r="X70" s="66"/>
      <c r="Y70" s="66"/>
    </row>
    <row r="71" spans="2:25"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5"/>
      <c r="R71" s="64"/>
      <c r="S71" s="64"/>
      <c r="T71" s="66"/>
      <c r="U71" s="66"/>
      <c r="V71" s="66"/>
      <c r="W71" s="66"/>
      <c r="X71" s="66"/>
      <c r="Y71" s="66"/>
    </row>
    <row r="72" spans="2:25"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5"/>
      <c r="R72" s="64"/>
      <c r="S72" s="64"/>
      <c r="T72" s="66"/>
      <c r="U72" s="66"/>
      <c r="V72" s="66"/>
      <c r="W72" s="66"/>
      <c r="X72" s="66"/>
      <c r="Y72" s="66"/>
    </row>
    <row r="73" spans="2:25"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5"/>
      <c r="R73" s="64"/>
      <c r="S73" s="64"/>
      <c r="T73" s="66"/>
      <c r="U73" s="66"/>
      <c r="V73" s="66"/>
      <c r="W73" s="66"/>
      <c r="X73" s="66"/>
      <c r="Y73" s="66"/>
    </row>
    <row r="74" spans="2:25"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5"/>
      <c r="R74" s="64"/>
      <c r="S74" s="64"/>
      <c r="T74" s="66"/>
      <c r="U74" s="66"/>
      <c r="V74" s="66"/>
      <c r="W74" s="66"/>
      <c r="X74" s="66"/>
      <c r="Y74" s="66"/>
    </row>
    <row r="75" spans="2:25"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5"/>
      <c r="R75" s="64"/>
      <c r="S75" s="64"/>
      <c r="T75" s="66"/>
      <c r="U75" s="66"/>
      <c r="V75" s="66"/>
      <c r="W75" s="66"/>
      <c r="X75" s="66"/>
      <c r="Y75" s="66"/>
    </row>
    <row r="76" spans="2:25"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5"/>
      <c r="R76" s="64"/>
      <c r="S76" s="64"/>
      <c r="T76" s="66"/>
      <c r="U76" s="66"/>
      <c r="V76" s="66"/>
      <c r="W76" s="66"/>
      <c r="X76" s="66"/>
      <c r="Y76" s="66"/>
    </row>
    <row r="77" spans="2:25"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5"/>
      <c r="R77" s="64"/>
      <c r="S77" s="64"/>
      <c r="T77" s="66"/>
      <c r="U77" s="66"/>
      <c r="V77" s="66"/>
      <c r="W77" s="66"/>
      <c r="X77" s="66"/>
      <c r="Y77" s="66"/>
    </row>
    <row r="78" spans="2:25"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5"/>
      <c r="R78" s="64"/>
      <c r="S78" s="64"/>
      <c r="T78" s="66"/>
      <c r="U78" s="66"/>
      <c r="V78" s="66"/>
      <c r="W78" s="66"/>
      <c r="X78" s="66"/>
      <c r="Y78" s="66"/>
    </row>
    <row r="79" spans="2:25"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5"/>
      <c r="R79" s="64"/>
      <c r="S79" s="64"/>
      <c r="T79" s="66"/>
      <c r="U79" s="66"/>
      <c r="V79" s="66"/>
      <c r="W79" s="66"/>
      <c r="X79" s="66"/>
      <c r="Y79" s="66"/>
    </row>
    <row r="80" spans="2:25"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5"/>
      <c r="R80" s="64"/>
      <c r="S80" s="64"/>
      <c r="T80" s="66"/>
      <c r="U80" s="66"/>
      <c r="V80" s="66"/>
      <c r="W80" s="66"/>
      <c r="X80" s="66"/>
      <c r="Y80" s="66"/>
    </row>
    <row r="81" spans="2:25"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5"/>
      <c r="R81" s="64"/>
      <c r="S81" s="64"/>
      <c r="T81" s="66"/>
      <c r="U81" s="66"/>
      <c r="V81" s="66"/>
      <c r="W81" s="66"/>
      <c r="X81" s="66"/>
      <c r="Y81" s="66"/>
    </row>
    <row r="82" spans="2:25"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5"/>
      <c r="R82" s="64"/>
      <c r="S82" s="64"/>
      <c r="T82" s="66"/>
      <c r="U82" s="66"/>
      <c r="V82" s="66"/>
      <c r="W82" s="66"/>
      <c r="X82" s="66"/>
      <c r="Y82" s="66"/>
    </row>
    <row r="83" spans="2:25"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5"/>
      <c r="R83" s="64"/>
      <c r="S83" s="64"/>
      <c r="T83" s="66"/>
      <c r="U83" s="66"/>
      <c r="V83" s="66"/>
      <c r="W83" s="66"/>
      <c r="X83" s="66"/>
      <c r="Y83" s="66"/>
    </row>
    <row r="84" spans="2:25"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5"/>
      <c r="R84" s="64"/>
      <c r="S84" s="64"/>
      <c r="T84" s="66"/>
      <c r="U84" s="66"/>
      <c r="V84" s="66"/>
      <c r="W84" s="66"/>
      <c r="X84" s="66"/>
      <c r="Y84" s="66"/>
    </row>
    <row r="85" spans="2:25"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5"/>
      <c r="R85" s="64"/>
      <c r="S85" s="64"/>
      <c r="T85" s="66"/>
      <c r="U85" s="66"/>
      <c r="V85" s="66"/>
      <c r="W85" s="66"/>
      <c r="X85" s="66"/>
      <c r="Y85" s="66"/>
    </row>
    <row r="86" spans="2:25"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5"/>
      <c r="R86" s="64"/>
      <c r="S86" s="64"/>
      <c r="T86" s="66"/>
      <c r="U86" s="66"/>
      <c r="V86" s="66"/>
      <c r="W86" s="66"/>
      <c r="X86" s="66"/>
      <c r="Y86" s="66"/>
    </row>
    <row r="87" spans="2:25"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5"/>
      <c r="R87" s="64"/>
      <c r="S87" s="64"/>
      <c r="T87" s="66"/>
      <c r="U87" s="66"/>
      <c r="V87" s="66"/>
      <c r="W87" s="66"/>
      <c r="X87" s="66"/>
      <c r="Y87" s="66"/>
    </row>
    <row r="88" spans="2:25"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5"/>
      <c r="R88" s="64"/>
      <c r="S88" s="64"/>
      <c r="T88" s="66"/>
      <c r="U88" s="66"/>
      <c r="V88" s="66"/>
      <c r="W88" s="66"/>
      <c r="X88" s="66"/>
      <c r="Y88" s="66"/>
    </row>
    <row r="89" spans="2:25"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5"/>
      <c r="R89" s="64"/>
      <c r="S89" s="64"/>
      <c r="T89" s="66"/>
      <c r="U89" s="66"/>
      <c r="V89" s="66"/>
      <c r="W89" s="66"/>
      <c r="X89" s="66"/>
      <c r="Y89" s="66"/>
    </row>
    <row r="90" spans="2:25"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5"/>
      <c r="R90" s="64"/>
      <c r="S90" s="64"/>
      <c r="T90" s="66"/>
      <c r="U90" s="66"/>
      <c r="V90" s="66"/>
      <c r="W90" s="66"/>
      <c r="X90" s="66"/>
      <c r="Y90" s="66"/>
    </row>
    <row r="91" spans="2:25"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5"/>
      <c r="R91" s="64"/>
      <c r="S91" s="64"/>
      <c r="T91" s="66"/>
      <c r="U91" s="66"/>
      <c r="V91" s="66"/>
      <c r="W91" s="66"/>
      <c r="X91" s="66"/>
      <c r="Y91" s="66"/>
    </row>
    <row r="92" spans="2:25"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5"/>
      <c r="R92" s="64"/>
      <c r="S92" s="64"/>
      <c r="T92" s="66"/>
      <c r="U92" s="66"/>
      <c r="V92" s="66"/>
      <c r="W92" s="66"/>
      <c r="X92" s="66"/>
      <c r="Y92" s="66"/>
    </row>
    <row r="93" spans="2:25"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5"/>
      <c r="R93" s="64"/>
      <c r="S93" s="64"/>
      <c r="T93" s="66"/>
      <c r="U93" s="66"/>
      <c r="V93" s="66"/>
      <c r="W93" s="66"/>
      <c r="X93" s="66"/>
      <c r="Y93" s="66"/>
    </row>
    <row r="94" spans="2:25"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5"/>
      <c r="R94" s="64"/>
      <c r="S94" s="64"/>
      <c r="T94" s="66"/>
      <c r="U94" s="66"/>
      <c r="V94" s="66"/>
      <c r="W94" s="66"/>
      <c r="X94" s="66"/>
      <c r="Y94" s="66"/>
    </row>
    <row r="95" spans="2:25"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5"/>
      <c r="R95" s="64"/>
      <c r="S95" s="64"/>
      <c r="T95" s="66"/>
      <c r="U95" s="66"/>
      <c r="V95" s="66"/>
      <c r="W95" s="66"/>
      <c r="X95" s="66"/>
      <c r="Y95" s="66"/>
    </row>
    <row r="96" spans="2:25"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5"/>
      <c r="R96" s="64"/>
      <c r="S96" s="64"/>
      <c r="T96" s="66"/>
      <c r="U96" s="66"/>
      <c r="V96" s="66"/>
      <c r="W96" s="66"/>
      <c r="X96" s="66"/>
      <c r="Y96" s="66"/>
    </row>
    <row r="97" spans="2:25"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5"/>
      <c r="R97" s="64"/>
      <c r="S97" s="64"/>
      <c r="T97" s="66"/>
      <c r="U97" s="66"/>
      <c r="V97" s="66"/>
      <c r="W97" s="66"/>
      <c r="X97" s="66"/>
      <c r="Y97" s="66"/>
    </row>
    <row r="98" spans="2:25"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5"/>
      <c r="R98" s="64"/>
      <c r="S98" s="64"/>
      <c r="T98" s="66"/>
      <c r="U98" s="66"/>
      <c r="V98" s="66"/>
      <c r="W98" s="66"/>
      <c r="X98" s="66"/>
      <c r="Y98" s="66"/>
    </row>
    <row r="99" spans="2:25"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5"/>
      <c r="R99" s="64"/>
      <c r="S99" s="64"/>
      <c r="T99" s="66"/>
      <c r="U99" s="66"/>
      <c r="V99" s="66"/>
      <c r="W99" s="66"/>
      <c r="X99" s="66"/>
      <c r="Y99" s="66"/>
    </row>
    <row r="100" spans="2:25"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5"/>
      <c r="R100" s="64"/>
      <c r="S100" s="64"/>
      <c r="T100" s="66"/>
      <c r="U100" s="66"/>
      <c r="V100" s="66"/>
      <c r="W100" s="66"/>
      <c r="X100" s="66"/>
      <c r="Y100" s="66"/>
    </row>
    <row r="101" spans="2:25"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5"/>
      <c r="R101" s="64"/>
      <c r="S101" s="64"/>
      <c r="T101" s="66"/>
      <c r="U101" s="66"/>
      <c r="V101" s="66"/>
      <c r="W101" s="66"/>
      <c r="X101" s="66"/>
      <c r="Y101" s="66"/>
    </row>
    <row r="102" spans="2:25"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5"/>
      <c r="R102" s="64"/>
      <c r="S102" s="64"/>
      <c r="T102" s="66"/>
      <c r="U102" s="66"/>
      <c r="V102" s="66"/>
      <c r="W102" s="66"/>
      <c r="X102" s="66"/>
      <c r="Y102" s="66"/>
    </row>
    <row r="103" spans="2:25"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5"/>
      <c r="R103" s="64"/>
      <c r="S103" s="64"/>
      <c r="T103" s="66"/>
      <c r="U103" s="66"/>
      <c r="V103" s="66"/>
      <c r="W103" s="66"/>
      <c r="X103" s="66"/>
      <c r="Y103" s="66"/>
    </row>
    <row r="104" spans="2:25"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5"/>
      <c r="R104" s="64"/>
      <c r="S104" s="64"/>
      <c r="T104" s="66"/>
      <c r="U104" s="66"/>
      <c r="V104" s="66"/>
      <c r="W104" s="66"/>
      <c r="X104" s="66"/>
      <c r="Y104" s="66"/>
    </row>
    <row r="105" spans="2:25"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5"/>
      <c r="R105" s="64"/>
      <c r="S105" s="64"/>
      <c r="T105" s="66"/>
      <c r="U105" s="66"/>
      <c r="V105" s="66"/>
      <c r="W105" s="66"/>
      <c r="X105" s="66"/>
      <c r="Y105" s="66"/>
    </row>
    <row r="106" spans="2:25"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5"/>
      <c r="R106" s="64"/>
      <c r="S106" s="64"/>
      <c r="T106" s="66"/>
      <c r="U106" s="66"/>
      <c r="V106" s="66"/>
      <c r="W106" s="66"/>
      <c r="X106" s="66"/>
      <c r="Y106" s="66"/>
    </row>
    <row r="107" spans="2:25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5"/>
      <c r="R107" s="64"/>
      <c r="S107" s="64"/>
      <c r="T107" s="66"/>
      <c r="U107" s="66"/>
      <c r="V107" s="66"/>
      <c r="W107" s="66"/>
      <c r="X107" s="66"/>
      <c r="Y107" s="66"/>
    </row>
    <row r="108" spans="2:25"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5"/>
      <c r="R108" s="64"/>
      <c r="S108" s="64"/>
      <c r="T108" s="66"/>
      <c r="U108" s="66"/>
      <c r="V108" s="66"/>
      <c r="W108" s="66"/>
      <c r="X108" s="66"/>
      <c r="Y108" s="66"/>
    </row>
    <row r="109" spans="2:25"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5"/>
      <c r="R109" s="64"/>
      <c r="S109" s="64"/>
      <c r="T109" s="66"/>
      <c r="U109" s="66"/>
      <c r="V109" s="66"/>
      <c r="W109" s="66"/>
      <c r="X109" s="66"/>
      <c r="Y109" s="66"/>
    </row>
    <row r="110" spans="2:25"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5"/>
      <c r="R110" s="64"/>
      <c r="S110" s="64"/>
      <c r="T110" s="66"/>
      <c r="U110" s="66"/>
      <c r="V110" s="66"/>
      <c r="W110" s="66"/>
      <c r="X110" s="66"/>
      <c r="Y110" s="66"/>
    </row>
    <row r="111" spans="2:25"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5"/>
      <c r="R111" s="64"/>
      <c r="S111" s="64"/>
      <c r="T111" s="66"/>
      <c r="U111" s="66"/>
      <c r="V111" s="66"/>
      <c r="W111" s="66"/>
      <c r="X111" s="66"/>
      <c r="Y111" s="66"/>
    </row>
    <row r="112" spans="2:25"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5"/>
      <c r="R112" s="64"/>
      <c r="S112" s="64"/>
      <c r="T112" s="66"/>
      <c r="U112" s="66"/>
      <c r="V112" s="66"/>
      <c r="W112" s="66"/>
      <c r="X112" s="66"/>
      <c r="Y112" s="66"/>
    </row>
    <row r="113" spans="2:25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5"/>
      <c r="R113" s="64"/>
      <c r="S113" s="64"/>
      <c r="T113" s="66"/>
      <c r="U113" s="66"/>
      <c r="V113" s="66"/>
      <c r="W113" s="66"/>
      <c r="X113" s="66"/>
      <c r="Y113" s="66"/>
    </row>
    <row r="114" spans="2:25"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5"/>
      <c r="R114" s="64"/>
      <c r="S114" s="64"/>
      <c r="T114" s="66"/>
      <c r="U114" s="66"/>
      <c r="V114" s="66"/>
      <c r="W114" s="66"/>
      <c r="X114" s="66"/>
      <c r="Y114" s="66"/>
    </row>
    <row r="115" spans="2:25"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5"/>
      <c r="R115" s="64"/>
      <c r="S115" s="64"/>
      <c r="T115" s="66"/>
      <c r="U115" s="66"/>
      <c r="V115" s="66"/>
      <c r="W115" s="66"/>
      <c r="X115" s="66"/>
      <c r="Y115" s="66"/>
    </row>
    <row r="116" spans="2:25"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5"/>
      <c r="R116" s="64"/>
      <c r="S116" s="64"/>
      <c r="T116" s="66"/>
      <c r="U116" s="66"/>
      <c r="V116" s="66"/>
      <c r="W116" s="66"/>
      <c r="X116" s="66"/>
      <c r="Y116" s="66"/>
    </row>
    <row r="117" spans="2:25"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5"/>
      <c r="R117" s="64"/>
      <c r="S117" s="64"/>
      <c r="T117" s="66"/>
      <c r="U117" s="66"/>
      <c r="V117" s="66"/>
      <c r="W117" s="66"/>
      <c r="X117" s="66"/>
      <c r="Y117" s="66"/>
    </row>
    <row r="118" spans="2:25"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5"/>
      <c r="R118" s="64"/>
      <c r="S118" s="64"/>
      <c r="T118" s="66"/>
      <c r="U118" s="66"/>
      <c r="V118" s="66"/>
      <c r="W118" s="66"/>
      <c r="X118" s="66"/>
      <c r="Y118" s="66"/>
    </row>
    <row r="119" spans="2:25"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5"/>
      <c r="R119" s="64"/>
      <c r="S119" s="64"/>
      <c r="T119" s="66"/>
      <c r="U119" s="66"/>
      <c r="V119" s="66"/>
      <c r="W119" s="66"/>
      <c r="X119" s="66"/>
      <c r="Y119" s="66"/>
    </row>
    <row r="120" spans="2:25"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5"/>
      <c r="R120" s="64"/>
      <c r="S120" s="64"/>
      <c r="T120" s="66"/>
      <c r="U120" s="66"/>
      <c r="V120" s="66"/>
      <c r="W120" s="66"/>
      <c r="X120" s="66"/>
      <c r="Y120" s="66"/>
    </row>
    <row r="121" spans="2:25"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5"/>
      <c r="R121" s="64"/>
      <c r="S121" s="64"/>
      <c r="T121" s="66"/>
      <c r="U121" s="66"/>
      <c r="V121" s="66"/>
      <c r="W121" s="66"/>
      <c r="X121" s="66"/>
      <c r="Y121" s="66"/>
    </row>
    <row r="122" spans="2:25"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5"/>
      <c r="R122" s="64"/>
      <c r="S122" s="64"/>
      <c r="T122" s="66"/>
      <c r="U122" s="66"/>
      <c r="V122" s="66"/>
      <c r="W122" s="66"/>
      <c r="X122" s="66"/>
      <c r="Y122" s="66"/>
    </row>
    <row r="123" spans="2:25"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5"/>
      <c r="R123" s="64"/>
      <c r="S123" s="64"/>
      <c r="T123" s="66"/>
      <c r="U123" s="66"/>
      <c r="V123" s="66"/>
      <c r="W123" s="66"/>
      <c r="X123" s="66"/>
      <c r="Y123" s="66"/>
    </row>
    <row r="124" spans="2:25"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5"/>
      <c r="R124" s="64"/>
      <c r="S124" s="64"/>
      <c r="T124" s="66"/>
      <c r="U124" s="66"/>
      <c r="V124" s="66"/>
      <c r="W124" s="66"/>
      <c r="X124" s="66"/>
      <c r="Y124" s="66"/>
    </row>
    <row r="125" spans="2:25"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5"/>
      <c r="R125" s="64"/>
      <c r="S125" s="64"/>
      <c r="T125" s="66"/>
      <c r="U125" s="66"/>
      <c r="V125" s="66"/>
      <c r="W125" s="66"/>
      <c r="X125" s="66"/>
      <c r="Y125" s="66"/>
    </row>
    <row r="126" spans="2:25"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5"/>
      <c r="R126" s="64"/>
      <c r="S126" s="64"/>
      <c r="T126" s="66"/>
      <c r="U126" s="66"/>
      <c r="V126" s="66"/>
      <c r="W126" s="66"/>
      <c r="X126" s="66"/>
      <c r="Y126" s="66"/>
    </row>
    <row r="127" spans="2:25"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5"/>
      <c r="R127" s="64"/>
      <c r="S127" s="64"/>
      <c r="T127" s="66"/>
      <c r="U127" s="66"/>
      <c r="V127" s="66"/>
      <c r="W127" s="66"/>
      <c r="X127" s="66"/>
      <c r="Y127" s="66"/>
    </row>
    <row r="128" spans="2:25"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5"/>
      <c r="R128" s="64"/>
      <c r="S128" s="64"/>
      <c r="T128" s="66"/>
      <c r="U128" s="66"/>
      <c r="V128" s="66"/>
      <c r="W128" s="66"/>
      <c r="X128" s="66"/>
      <c r="Y128" s="66"/>
    </row>
    <row r="129" spans="2:25"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5"/>
      <c r="R129" s="64"/>
      <c r="S129" s="64"/>
      <c r="T129" s="66"/>
      <c r="U129" s="66"/>
      <c r="V129" s="66"/>
      <c r="W129" s="66"/>
      <c r="X129" s="66"/>
      <c r="Y129" s="66"/>
    </row>
    <row r="130" spans="2:25"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5"/>
      <c r="R130" s="64"/>
      <c r="S130" s="64"/>
      <c r="T130" s="66"/>
      <c r="U130" s="66"/>
      <c r="V130" s="66"/>
      <c r="W130" s="66"/>
      <c r="X130" s="66"/>
      <c r="Y130" s="66"/>
    </row>
    <row r="131" spans="2:25"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5"/>
      <c r="R131" s="64"/>
      <c r="S131" s="64"/>
      <c r="T131" s="66"/>
      <c r="U131" s="66"/>
      <c r="V131" s="66"/>
      <c r="W131" s="66"/>
      <c r="X131" s="66"/>
      <c r="Y131" s="66"/>
    </row>
    <row r="132" spans="2:25"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5"/>
      <c r="R132" s="64"/>
      <c r="S132" s="64"/>
      <c r="T132" s="66"/>
      <c r="U132" s="66"/>
      <c r="V132" s="66"/>
      <c r="W132" s="66"/>
      <c r="X132" s="66"/>
      <c r="Y132" s="66"/>
    </row>
    <row r="133" spans="2:25"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5"/>
      <c r="R133" s="64"/>
      <c r="S133" s="64"/>
      <c r="T133" s="66"/>
      <c r="U133" s="66"/>
      <c r="V133" s="66"/>
      <c r="W133" s="66"/>
      <c r="X133" s="66"/>
      <c r="Y133" s="66"/>
    </row>
    <row r="134" spans="2:25"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5"/>
      <c r="R134" s="64"/>
      <c r="S134" s="64"/>
      <c r="T134" s="66"/>
      <c r="U134" s="66"/>
      <c r="V134" s="66"/>
      <c r="W134" s="66"/>
      <c r="X134" s="66"/>
      <c r="Y134" s="66"/>
    </row>
    <row r="135" spans="2:25"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5"/>
      <c r="R135" s="64"/>
      <c r="S135" s="64"/>
      <c r="T135" s="66"/>
      <c r="U135" s="66"/>
      <c r="V135" s="66"/>
      <c r="W135" s="66"/>
      <c r="X135" s="66"/>
      <c r="Y135" s="66"/>
    </row>
    <row r="136" spans="2:25"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5"/>
      <c r="R136" s="64"/>
      <c r="S136" s="64"/>
      <c r="T136" s="66"/>
      <c r="U136" s="66"/>
      <c r="V136" s="66"/>
      <c r="W136" s="66"/>
      <c r="X136" s="66"/>
      <c r="Y136" s="66"/>
    </row>
    <row r="137" spans="2:25"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5"/>
      <c r="R137" s="64"/>
      <c r="S137" s="64"/>
      <c r="T137" s="66"/>
      <c r="U137" s="66"/>
      <c r="V137" s="66"/>
      <c r="W137" s="66"/>
      <c r="X137" s="66"/>
      <c r="Y137" s="66"/>
    </row>
    <row r="138" spans="2:25"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5"/>
      <c r="R138" s="64"/>
      <c r="S138" s="64"/>
      <c r="T138" s="66"/>
      <c r="U138" s="66"/>
      <c r="V138" s="66"/>
      <c r="W138" s="66"/>
      <c r="X138" s="66"/>
      <c r="Y138" s="66"/>
    </row>
    <row r="139" spans="2:25"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5"/>
      <c r="R139" s="64"/>
      <c r="S139" s="64"/>
      <c r="T139" s="66"/>
      <c r="U139" s="66"/>
      <c r="V139" s="66"/>
      <c r="W139" s="66"/>
      <c r="X139" s="66"/>
      <c r="Y139" s="66"/>
    </row>
    <row r="140" spans="2:25"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5"/>
      <c r="R140" s="64"/>
      <c r="S140" s="64"/>
      <c r="T140" s="66"/>
      <c r="U140" s="66"/>
      <c r="V140" s="66"/>
      <c r="W140" s="66"/>
      <c r="X140" s="66"/>
      <c r="Y140" s="66"/>
    </row>
    <row r="141" spans="2:25"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5"/>
      <c r="R141" s="64"/>
      <c r="S141" s="64"/>
      <c r="T141" s="66"/>
      <c r="U141" s="66"/>
      <c r="V141" s="66"/>
      <c r="W141" s="66"/>
      <c r="X141" s="66"/>
      <c r="Y141" s="66"/>
    </row>
    <row r="142" spans="2:25"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5"/>
      <c r="R142" s="64"/>
      <c r="S142" s="64"/>
      <c r="T142" s="66"/>
      <c r="U142" s="66"/>
      <c r="V142" s="66"/>
      <c r="W142" s="66"/>
      <c r="X142" s="66"/>
      <c r="Y142" s="66"/>
    </row>
    <row r="143" spans="2:25"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5"/>
      <c r="R143" s="64"/>
      <c r="S143" s="64"/>
      <c r="T143" s="66"/>
      <c r="U143" s="66"/>
      <c r="V143" s="66"/>
      <c r="W143" s="66"/>
      <c r="X143" s="66"/>
      <c r="Y143" s="66"/>
    </row>
    <row r="144" spans="2:25"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5"/>
      <c r="R144" s="64"/>
      <c r="S144" s="64"/>
      <c r="T144" s="66"/>
      <c r="U144" s="66"/>
      <c r="V144" s="66"/>
      <c r="W144" s="66"/>
      <c r="X144" s="66"/>
      <c r="Y144" s="66"/>
    </row>
    <row r="145" spans="2:25"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5"/>
      <c r="R145" s="64"/>
      <c r="S145" s="64"/>
      <c r="T145" s="66"/>
      <c r="U145" s="66"/>
      <c r="V145" s="66"/>
      <c r="W145" s="66"/>
      <c r="X145" s="66"/>
      <c r="Y145" s="66"/>
    </row>
    <row r="146" spans="2:25"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5"/>
      <c r="R146" s="64"/>
      <c r="S146" s="64"/>
      <c r="T146" s="66"/>
      <c r="U146" s="66"/>
      <c r="V146" s="66"/>
      <c r="W146" s="66"/>
      <c r="X146" s="66"/>
      <c r="Y146" s="66"/>
    </row>
    <row r="147" spans="2:25"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5"/>
      <c r="R147" s="64"/>
      <c r="S147" s="64"/>
      <c r="T147" s="66"/>
      <c r="U147" s="66"/>
      <c r="V147" s="66"/>
      <c r="W147" s="66"/>
      <c r="X147" s="66"/>
      <c r="Y147" s="66"/>
    </row>
    <row r="148" spans="2:25"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5"/>
      <c r="R148" s="64"/>
      <c r="S148" s="64"/>
      <c r="T148" s="66"/>
      <c r="U148" s="66"/>
      <c r="V148" s="66"/>
      <c r="W148" s="66"/>
      <c r="X148" s="66"/>
      <c r="Y148" s="66"/>
    </row>
    <row r="149" spans="2:25"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5"/>
      <c r="R149" s="64"/>
      <c r="S149" s="64"/>
      <c r="T149" s="66"/>
      <c r="U149" s="66"/>
      <c r="V149" s="66"/>
      <c r="W149" s="66"/>
      <c r="X149" s="66"/>
      <c r="Y149" s="66"/>
    </row>
    <row r="150" spans="2:25"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5"/>
      <c r="R150" s="64"/>
      <c r="S150" s="64"/>
      <c r="T150" s="66"/>
      <c r="U150" s="66"/>
      <c r="V150" s="66"/>
      <c r="W150" s="66"/>
      <c r="X150" s="66"/>
      <c r="Y150" s="66"/>
    </row>
    <row r="151" spans="2:25"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5"/>
      <c r="R151" s="64"/>
      <c r="S151" s="64"/>
      <c r="T151" s="66"/>
      <c r="U151" s="66"/>
      <c r="V151" s="66"/>
      <c r="W151" s="66"/>
      <c r="X151" s="66"/>
      <c r="Y151" s="66"/>
    </row>
    <row r="152" spans="2:25"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5"/>
      <c r="R152" s="64"/>
      <c r="S152" s="64"/>
      <c r="T152" s="66"/>
      <c r="U152" s="66"/>
      <c r="V152" s="66"/>
      <c r="W152" s="66"/>
      <c r="X152" s="66"/>
      <c r="Y152" s="66"/>
    </row>
    <row r="153" spans="2:25"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5"/>
      <c r="R153" s="64"/>
      <c r="S153" s="64"/>
      <c r="T153" s="66"/>
      <c r="U153" s="66"/>
      <c r="V153" s="66"/>
      <c r="W153" s="66"/>
      <c r="X153" s="66"/>
      <c r="Y153" s="66"/>
    </row>
    <row r="154" spans="2:25"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5"/>
      <c r="R154" s="64"/>
      <c r="S154" s="64"/>
      <c r="T154" s="66"/>
      <c r="U154" s="66"/>
      <c r="V154" s="66"/>
      <c r="W154" s="66"/>
      <c r="X154" s="66"/>
      <c r="Y154" s="66"/>
    </row>
    <row r="155" spans="2:25"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5"/>
      <c r="R155" s="64"/>
      <c r="S155" s="64"/>
      <c r="T155" s="66"/>
      <c r="U155" s="66"/>
      <c r="V155" s="66"/>
      <c r="W155" s="66"/>
      <c r="X155" s="66"/>
      <c r="Y155" s="66"/>
    </row>
    <row r="156" spans="2:25"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5"/>
      <c r="R156" s="64"/>
      <c r="S156" s="64"/>
      <c r="T156" s="66"/>
      <c r="U156" s="66"/>
      <c r="V156" s="66"/>
      <c r="W156" s="66"/>
      <c r="X156" s="66"/>
      <c r="Y156" s="66"/>
    </row>
    <row r="157" spans="2:25"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5"/>
      <c r="R157" s="64"/>
      <c r="S157" s="64"/>
      <c r="T157" s="66"/>
      <c r="U157" s="66"/>
      <c r="V157" s="66"/>
      <c r="W157" s="66"/>
      <c r="X157" s="66"/>
      <c r="Y157" s="66"/>
    </row>
    <row r="158" spans="2:25"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5"/>
      <c r="R158" s="64"/>
      <c r="S158" s="64"/>
      <c r="T158" s="66"/>
      <c r="U158" s="66"/>
      <c r="V158" s="66"/>
      <c r="W158" s="66"/>
      <c r="X158" s="66"/>
      <c r="Y158" s="66"/>
    </row>
    <row r="159" spans="2:25"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5"/>
      <c r="R159" s="64"/>
      <c r="S159" s="64"/>
      <c r="T159" s="66"/>
      <c r="U159" s="66"/>
      <c r="V159" s="66"/>
      <c r="W159" s="66"/>
      <c r="X159" s="66"/>
      <c r="Y159" s="66"/>
    </row>
    <row r="160" spans="2:25"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5"/>
      <c r="R160" s="64"/>
      <c r="S160" s="64"/>
      <c r="T160" s="66"/>
      <c r="U160" s="66"/>
      <c r="V160" s="66"/>
      <c r="W160" s="66"/>
      <c r="X160" s="66"/>
      <c r="Y160" s="66"/>
    </row>
    <row r="161" spans="2:25"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5"/>
      <c r="R161" s="64"/>
      <c r="S161" s="64"/>
      <c r="T161" s="66"/>
      <c r="U161" s="66"/>
      <c r="V161" s="66"/>
      <c r="W161" s="66"/>
      <c r="X161" s="66"/>
      <c r="Y161" s="66"/>
    </row>
    <row r="162" spans="2:25"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5"/>
      <c r="R162" s="64"/>
      <c r="S162" s="64"/>
      <c r="T162" s="66"/>
      <c r="U162" s="66"/>
      <c r="V162" s="66"/>
      <c r="W162" s="66"/>
      <c r="X162" s="66"/>
      <c r="Y162" s="66"/>
    </row>
    <row r="163" spans="2:25"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5"/>
      <c r="R163" s="64"/>
      <c r="S163" s="64"/>
      <c r="T163" s="66"/>
      <c r="U163" s="66"/>
      <c r="V163" s="66"/>
      <c r="W163" s="66"/>
      <c r="X163" s="66"/>
      <c r="Y163" s="66"/>
    </row>
    <row r="164" spans="2:25"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5"/>
      <c r="R164" s="64"/>
      <c r="S164" s="64"/>
      <c r="T164" s="66"/>
      <c r="U164" s="66"/>
      <c r="V164" s="66"/>
      <c r="W164" s="66"/>
      <c r="X164" s="66"/>
      <c r="Y164" s="66"/>
    </row>
    <row r="165" spans="2:25"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5"/>
      <c r="R165" s="64"/>
      <c r="S165" s="64"/>
      <c r="T165" s="66"/>
      <c r="U165" s="66"/>
      <c r="V165" s="66"/>
      <c r="W165" s="66"/>
      <c r="X165" s="66"/>
      <c r="Y165" s="66"/>
    </row>
    <row r="166" spans="2:25"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5"/>
      <c r="R166" s="64"/>
      <c r="S166" s="64"/>
      <c r="T166" s="66"/>
      <c r="U166" s="66"/>
      <c r="V166" s="66"/>
      <c r="W166" s="66"/>
      <c r="X166" s="66"/>
      <c r="Y166" s="66"/>
    </row>
    <row r="167" spans="2:25"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5"/>
      <c r="R167" s="64"/>
      <c r="S167" s="64"/>
      <c r="T167" s="66"/>
      <c r="U167" s="66"/>
      <c r="V167" s="66"/>
      <c r="W167" s="66"/>
      <c r="X167" s="66"/>
      <c r="Y167" s="66"/>
    </row>
    <row r="168" spans="2:25"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5"/>
      <c r="R168" s="64"/>
      <c r="S168" s="64"/>
      <c r="T168" s="66"/>
      <c r="U168" s="66"/>
      <c r="V168" s="66"/>
      <c r="W168" s="66"/>
      <c r="X168" s="66"/>
      <c r="Y168" s="66"/>
    </row>
    <row r="169" spans="2:25"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5"/>
      <c r="R169" s="64"/>
      <c r="S169" s="64"/>
      <c r="T169" s="66"/>
      <c r="U169" s="66"/>
      <c r="V169" s="66"/>
      <c r="W169" s="66"/>
      <c r="X169" s="66"/>
      <c r="Y169" s="66"/>
    </row>
    <row r="170" spans="2:25"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5"/>
      <c r="R170" s="64"/>
      <c r="S170" s="64"/>
      <c r="T170" s="66"/>
      <c r="U170" s="66"/>
      <c r="V170" s="66"/>
      <c r="W170" s="66"/>
      <c r="X170" s="66"/>
      <c r="Y170" s="66"/>
    </row>
    <row r="171" spans="2:25"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5"/>
      <c r="R171" s="64"/>
      <c r="S171" s="64"/>
      <c r="T171" s="66"/>
      <c r="U171" s="66"/>
      <c r="V171" s="66"/>
      <c r="W171" s="66"/>
      <c r="X171" s="66"/>
      <c r="Y171" s="66"/>
    </row>
    <row r="172" spans="2:25"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5"/>
      <c r="R172" s="64"/>
      <c r="S172" s="64"/>
      <c r="T172" s="66"/>
      <c r="U172" s="66"/>
      <c r="V172" s="66"/>
      <c r="W172" s="66"/>
      <c r="X172" s="66"/>
      <c r="Y172" s="66"/>
    </row>
    <row r="173" spans="2:25"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5"/>
      <c r="R173" s="64"/>
      <c r="S173" s="64"/>
      <c r="T173" s="66"/>
      <c r="U173" s="66"/>
      <c r="V173" s="66"/>
      <c r="W173" s="66"/>
      <c r="X173" s="66"/>
      <c r="Y173" s="66"/>
    </row>
    <row r="174" spans="2:25"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5"/>
      <c r="R174" s="64"/>
      <c r="S174" s="64"/>
      <c r="T174" s="66"/>
      <c r="U174" s="66"/>
      <c r="V174" s="66"/>
      <c r="W174" s="66"/>
      <c r="X174" s="66"/>
      <c r="Y174" s="66"/>
    </row>
    <row r="175" spans="2:25"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5"/>
      <c r="R175" s="64"/>
      <c r="S175" s="64"/>
      <c r="T175" s="66"/>
      <c r="U175" s="66"/>
      <c r="V175" s="66"/>
      <c r="W175" s="66"/>
      <c r="X175" s="66"/>
      <c r="Y175" s="66"/>
    </row>
    <row r="176" spans="2:25"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5"/>
      <c r="R176" s="64"/>
      <c r="S176" s="64"/>
      <c r="T176" s="66"/>
      <c r="U176" s="66"/>
      <c r="V176" s="66"/>
      <c r="W176" s="66"/>
      <c r="X176" s="66"/>
      <c r="Y176" s="66"/>
    </row>
    <row r="177" spans="2:25"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5"/>
      <c r="R177" s="64"/>
      <c r="S177" s="64"/>
      <c r="T177" s="66"/>
      <c r="U177" s="66"/>
      <c r="V177" s="66"/>
      <c r="W177" s="66"/>
      <c r="X177" s="66"/>
      <c r="Y177" s="66"/>
    </row>
    <row r="178" spans="2:25"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5"/>
      <c r="R178" s="64"/>
      <c r="S178" s="64"/>
      <c r="T178" s="66"/>
      <c r="U178" s="66"/>
      <c r="V178" s="66"/>
      <c r="W178" s="66"/>
      <c r="X178" s="66"/>
      <c r="Y178" s="66"/>
    </row>
    <row r="179" spans="2:25"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5"/>
      <c r="R179" s="64"/>
      <c r="S179" s="64"/>
      <c r="T179" s="66"/>
      <c r="U179" s="66"/>
      <c r="V179" s="66"/>
      <c r="W179" s="66"/>
      <c r="X179" s="66"/>
      <c r="Y179" s="66"/>
    </row>
    <row r="180" spans="2:25"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5"/>
      <c r="R180" s="64"/>
      <c r="S180" s="64"/>
      <c r="T180" s="66"/>
      <c r="U180" s="66"/>
      <c r="V180" s="66"/>
      <c r="W180" s="66"/>
      <c r="X180" s="66"/>
      <c r="Y180" s="66"/>
    </row>
    <row r="181" spans="2:25"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5"/>
      <c r="R181" s="64"/>
      <c r="S181" s="64"/>
      <c r="T181" s="66"/>
      <c r="U181" s="66"/>
      <c r="V181" s="66"/>
      <c r="W181" s="66"/>
      <c r="X181" s="66"/>
      <c r="Y181" s="66"/>
    </row>
    <row r="182" spans="2:25"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5"/>
      <c r="R182" s="64"/>
      <c r="S182" s="64"/>
      <c r="T182" s="66"/>
      <c r="U182" s="66"/>
      <c r="V182" s="66"/>
      <c r="W182" s="66"/>
      <c r="X182" s="66"/>
      <c r="Y182" s="66"/>
    </row>
    <row r="183" spans="2:25"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5"/>
      <c r="R183" s="64"/>
      <c r="S183" s="64"/>
      <c r="T183" s="66"/>
      <c r="U183" s="66"/>
      <c r="V183" s="66"/>
      <c r="W183" s="66"/>
      <c r="X183" s="66"/>
      <c r="Y183" s="66"/>
    </row>
    <row r="184" spans="2:25"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5"/>
      <c r="R184" s="64"/>
      <c r="S184" s="64"/>
      <c r="T184" s="66"/>
      <c r="U184" s="66"/>
      <c r="V184" s="66"/>
      <c r="W184" s="66"/>
      <c r="X184" s="66"/>
      <c r="Y184" s="66"/>
    </row>
    <row r="185" spans="2:25"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5"/>
      <c r="R185" s="64"/>
      <c r="S185" s="64"/>
      <c r="T185" s="66"/>
      <c r="U185" s="66"/>
      <c r="V185" s="66"/>
      <c r="W185" s="66"/>
      <c r="X185" s="66"/>
      <c r="Y185" s="66"/>
    </row>
    <row r="186" spans="2:25"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5"/>
      <c r="R186" s="64"/>
      <c r="S186" s="64"/>
      <c r="T186" s="66"/>
      <c r="U186" s="66"/>
      <c r="V186" s="66"/>
      <c r="W186" s="66"/>
      <c r="X186" s="66"/>
      <c r="Y186" s="66"/>
    </row>
    <row r="187" spans="2:25"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5"/>
      <c r="R187" s="64"/>
      <c r="S187" s="64"/>
      <c r="T187" s="66"/>
      <c r="U187" s="66"/>
      <c r="V187" s="66"/>
      <c r="W187" s="66"/>
      <c r="X187" s="66"/>
      <c r="Y187" s="66"/>
    </row>
    <row r="188" spans="2:25"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5"/>
      <c r="R188" s="64"/>
      <c r="S188" s="64"/>
      <c r="T188" s="66"/>
      <c r="U188" s="66"/>
      <c r="V188" s="66"/>
      <c r="W188" s="66"/>
      <c r="X188" s="66"/>
      <c r="Y188" s="66"/>
    </row>
    <row r="189" spans="2:25"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5"/>
      <c r="R189" s="64"/>
      <c r="S189" s="64"/>
      <c r="T189" s="66"/>
      <c r="U189" s="66"/>
      <c r="V189" s="66"/>
      <c r="W189" s="66"/>
      <c r="X189" s="66"/>
      <c r="Y189" s="66"/>
    </row>
    <row r="190" spans="2:25"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5"/>
      <c r="R190" s="64"/>
      <c r="S190" s="64"/>
      <c r="T190" s="66"/>
      <c r="U190" s="66"/>
      <c r="V190" s="66"/>
      <c r="W190" s="66"/>
      <c r="X190" s="66"/>
      <c r="Y190" s="66"/>
    </row>
    <row r="191" spans="2:25"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5"/>
      <c r="R191" s="64"/>
      <c r="S191" s="64"/>
      <c r="T191" s="66"/>
      <c r="U191" s="66"/>
      <c r="V191" s="66"/>
      <c r="W191" s="66"/>
      <c r="X191" s="66"/>
      <c r="Y191" s="66"/>
    </row>
    <row r="192" spans="2:25"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5"/>
      <c r="R192" s="64"/>
      <c r="S192" s="64"/>
      <c r="T192" s="66"/>
      <c r="U192" s="66"/>
      <c r="V192" s="66"/>
      <c r="W192" s="66"/>
      <c r="X192" s="66"/>
      <c r="Y192" s="66"/>
    </row>
    <row r="193" spans="2:25"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5"/>
      <c r="R193" s="64"/>
      <c r="S193" s="64"/>
      <c r="T193" s="66"/>
      <c r="U193" s="66"/>
      <c r="V193" s="66"/>
      <c r="W193" s="66"/>
      <c r="X193" s="66"/>
      <c r="Y193" s="66"/>
    </row>
    <row r="194" spans="2:25"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5"/>
      <c r="R194" s="64"/>
      <c r="S194" s="64"/>
      <c r="T194" s="66"/>
      <c r="U194" s="66"/>
      <c r="V194" s="66"/>
      <c r="W194" s="66"/>
      <c r="X194" s="66"/>
      <c r="Y194" s="66"/>
    </row>
    <row r="195" spans="2:25"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5"/>
      <c r="R195" s="64"/>
      <c r="S195" s="64"/>
      <c r="T195" s="66"/>
      <c r="U195" s="66"/>
      <c r="V195" s="66"/>
      <c r="W195" s="66"/>
      <c r="X195" s="66"/>
      <c r="Y195" s="66"/>
    </row>
    <row r="196" spans="2:25"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5"/>
      <c r="R196" s="64"/>
      <c r="S196" s="64"/>
      <c r="T196" s="66"/>
      <c r="U196" s="66"/>
      <c r="V196" s="66"/>
      <c r="W196" s="66"/>
      <c r="X196" s="66"/>
      <c r="Y196" s="66"/>
    </row>
    <row r="197" spans="2:25"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5"/>
      <c r="R197" s="64"/>
      <c r="S197" s="64"/>
      <c r="T197" s="66"/>
      <c r="U197" s="66"/>
      <c r="V197" s="66"/>
      <c r="W197" s="66"/>
      <c r="X197" s="66"/>
      <c r="Y197" s="66"/>
    </row>
    <row r="198" spans="2:25"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5"/>
      <c r="R198" s="64"/>
      <c r="S198" s="64"/>
      <c r="T198" s="66"/>
      <c r="U198" s="66"/>
      <c r="V198" s="66"/>
      <c r="W198" s="66"/>
      <c r="X198" s="66"/>
      <c r="Y198" s="66"/>
    </row>
    <row r="199" spans="2:25"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5"/>
      <c r="R199" s="64"/>
      <c r="S199" s="64"/>
      <c r="T199" s="66"/>
      <c r="U199" s="66"/>
      <c r="V199" s="66"/>
      <c r="W199" s="66"/>
      <c r="X199" s="66"/>
      <c r="Y199" s="66"/>
    </row>
    <row r="200" spans="2:25"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5"/>
      <c r="R200" s="64"/>
      <c r="S200" s="64"/>
      <c r="T200" s="66"/>
      <c r="U200" s="66"/>
      <c r="V200" s="66"/>
      <c r="W200" s="66"/>
      <c r="X200" s="66"/>
      <c r="Y200" s="66"/>
    </row>
    <row r="201" spans="2:25"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5"/>
      <c r="R201" s="64"/>
      <c r="S201" s="64"/>
      <c r="T201" s="66"/>
      <c r="U201" s="66"/>
      <c r="V201" s="66"/>
      <c r="W201" s="66"/>
      <c r="X201" s="66"/>
      <c r="Y201" s="66"/>
    </row>
    <row r="202" spans="2:25"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5"/>
      <c r="R202" s="64"/>
      <c r="S202" s="64"/>
      <c r="T202" s="66"/>
      <c r="U202" s="66"/>
      <c r="V202" s="66"/>
      <c r="W202" s="66"/>
      <c r="X202" s="66"/>
      <c r="Y202" s="66"/>
    </row>
    <row r="203" spans="2:25"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5"/>
      <c r="R203" s="64"/>
      <c r="S203" s="64"/>
      <c r="T203" s="66"/>
      <c r="U203" s="66"/>
      <c r="V203" s="66"/>
      <c r="W203" s="66"/>
      <c r="X203" s="66"/>
      <c r="Y203" s="66"/>
    </row>
    <row r="204" spans="2:25"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5"/>
      <c r="R204" s="64"/>
      <c r="S204" s="64"/>
      <c r="T204" s="66"/>
      <c r="U204" s="66"/>
      <c r="V204" s="66"/>
      <c r="W204" s="66"/>
      <c r="X204" s="66"/>
      <c r="Y204" s="66"/>
    </row>
    <row r="205" spans="2:25"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5"/>
      <c r="R205" s="64"/>
      <c r="S205" s="64"/>
      <c r="T205" s="66"/>
      <c r="U205" s="66"/>
      <c r="V205" s="66"/>
      <c r="W205" s="66"/>
      <c r="X205" s="66"/>
      <c r="Y205" s="66"/>
    </row>
    <row r="206" spans="2:25"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5"/>
      <c r="R206" s="64"/>
      <c r="S206" s="64"/>
      <c r="T206" s="66"/>
      <c r="U206" s="66"/>
      <c r="V206" s="66"/>
      <c r="W206" s="66"/>
      <c r="X206" s="66"/>
      <c r="Y206" s="66"/>
    </row>
    <row r="207" spans="2:25"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5"/>
      <c r="R207" s="64"/>
      <c r="S207" s="64"/>
      <c r="T207" s="66"/>
      <c r="U207" s="66"/>
      <c r="V207" s="66"/>
      <c r="W207" s="66"/>
      <c r="X207" s="66"/>
      <c r="Y207" s="66"/>
    </row>
    <row r="208" spans="2:25"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5"/>
      <c r="R208" s="64"/>
      <c r="S208" s="64"/>
      <c r="T208" s="66"/>
      <c r="U208" s="66"/>
      <c r="V208" s="66"/>
      <c r="W208" s="66"/>
      <c r="X208" s="66"/>
      <c r="Y208" s="66"/>
    </row>
    <row r="209" spans="2:25"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5"/>
      <c r="R209" s="64"/>
      <c r="S209" s="64"/>
      <c r="T209" s="66"/>
      <c r="U209" s="66"/>
      <c r="V209" s="66"/>
      <c r="W209" s="66"/>
      <c r="X209" s="66"/>
      <c r="Y209" s="66"/>
    </row>
    <row r="210" spans="2:25"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5"/>
      <c r="R210" s="64"/>
      <c r="S210" s="64"/>
      <c r="T210" s="66"/>
      <c r="U210" s="66"/>
      <c r="V210" s="66"/>
      <c r="W210" s="66"/>
      <c r="X210" s="66"/>
      <c r="Y210" s="66"/>
    </row>
    <row r="211" spans="2:25"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5"/>
      <c r="R211" s="64"/>
      <c r="S211" s="64"/>
      <c r="T211" s="66"/>
      <c r="U211" s="66"/>
      <c r="V211" s="66"/>
      <c r="W211" s="66"/>
      <c r="X211" s="66"/>
      <c r="Y211" s="66"/>
    </row>
    <row r="212" spans="2:25"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5"/>
      <c r="R212" s="64"/>
      <c r="S212" s="64"/>
      <c r="T212" s="66"/>
      <c r="U212" s="66"/>
      <c r="V212" s="66"/>
      <c r="W212" s="66"/>
      <c r="X212" s="66"/>
      <c r="Y212" s="66"/>
    </row>
    <row r="213" spans="2:25"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5"/>
      <c r="R213" s="64"/>
      <c r="S213" s="64"/>
      <c r="T213" s="66"/>
      <c r="U213" s="66"/>
      <c r="V213" s="66"/>
      <c r="W213" s="66"/>
      <c r="X213" s="66"/>
      <c r="Y213" s="66"/>
    </row>
    <row r="214" spans="2:25"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5"/>
      <c r="R214" s="64"/>
      <c r="S214" s="64"/>
      <c r="T214" s="66"/>
      <c r="U214" s="66"/>
      <c r="V214" s="66"/>
      <c r="W214" s="66"/>
      <c r="X214" s="66"/>
      <c r="Y214" s="66"/>
    </row>
    <row r="215" spans="2:25"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5"/>
      <c r="R215" s="64"/>
      <c r="S215" s="64"/>
      <c r="T215" s="66"/>
      <c r="U215" s="66"/>
      <c r="V215" s="66"/>
      <c r="W215" s="66"/>
      <c r="X215" s="66"/>
      <c r="Y215" s="66"/>
    </row>
    <row r="216" spans="2:25"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5"/>
      <c r="R216" s="64"/>
      <c r="S216" s="64"/>
      <c r="T216" s="66"/>
      <c r="U216" s="66"/>
      <c r="V216" s="66"/>
      <c r="W216" s="66"/>
      <c r="X216" s="66"/>
      <c r="Y216" s="66"/>
    </row>
    <row r="217" spans="2:25"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5"/>
      <c r="R217" s="64"/>
      <c r="S217" s="64"/>
      <c r="T217" s="66"/>
      <c r="U217" s="66"/>
      <c r="V217" s="66"/>
      <c r="W217" s="66"/>
      <c r="X217" s="66"/>
      <c r="Y217" s="66"/>
    </row>
    <row r="218" spans="2:25"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5"/>
      <c r="R218" s="64"/>
      <c r="S218" s="64"/>
      <c r="T218" s="66"/>
      <c r="U218" s="66"/>
      <c r="V218" s="66"/>
      <c r="W218" s="66"/>
      <c r="X218" s="66"/>
      <c r="Y218" s="66"/>
    </row>
    <row r="219" spans="2:25"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5"/>
      <c r="R219" s="64"/>
      <c r="S219" s="64"/>
      <c r="T219" s="66"/>
      <c r="U219" s="66"/>
      <c r="V219" s="66"/>
      <c r="W219" s="66"/>
      <c r="X219" s="66"/>
      <c r="Y219" s="66"/>
    </row>
    <row r="220" spans="2:25"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5"/>
      <c r="R220" s="64"/>
      <c r="S220" s="64"/>
      <c r="T220" s="66"/>
      <c r="U220" s="66"/>
      <c r="V220" s="66"/>
      <c r="W220" s="66"/>
      <c r="X220" s="66"/>
      <c r="Y220" s="66"/>
    </row>
    <row r="221" spans="2:25"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5"/>
      <c r="R221" s="64"/>
      <c r="S221" s="64"/>
      <c r="T221" s="66"/>
      <c r="U221" s="66"/>
      <c r="V221" s="66"/>
      <c r="W221" s="66"/>
      <c r="X221" s="66"/>
      <c r="Y221" s="66"/>
    </row>
    <row r="222" spans="2:25"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5"/>
      <c r="R222" s="64"/>
      <c r="S222" s="64"/>
      <c r="T222" s="66"/>
      <c r="U222" s="66"/>
      <c r="V222" s="66"/>
      <c r="W222" s="66"/>
      <c r="X222" s="66"/>
      <c r="Y222" s="66"/>
    </row>
    <row r="223" spans="2:25"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5"/>
      <c r="R223" s="64"/>
      <c r="S223" s="64"/>
      <c r="T223" s="66"/>
      <c r="U223" s="66"/>
      <c r="V223" s="66"/>
      <c r="W223" s="66"/>
      <c r="X223" s="66"/>
      <c r="Y223" s="66"/>
    </row>
    <row r="224" spans="2:25"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5"/>
      <c r="R224" s="64"/>
      <c r="S224" s="64"/>
      <c r="T224" s="66"/>
      <c r="U224" s="66"/>
      <c r="V224" s="66"/>
      <c r="W224" s="66"/>
      <c r="X224" s="66"/>
      <c r="Y224" s="66"/>
    </row>
    <row r="225" spans="2:25"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5"/>
      <c r="R225" s="64"/>
      <c r="S225" s="64"/>
      <c r="T225" s="66"/>
      <c r="U225" s="66"/>
      <c r="V225" s="66"/>
      <c r="W225" s="66"/>
      <c r="X225" s="66"/>
      <c r="Y225" s="66"/>
    </row>
    <row r="226" spans="2:25"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5"/>
      <c r="R226" s="64"/>
      <c r="S226" s="64"/>
      <c r="T226" s="66"/>
      <c r="U226" s="66"/>
      <c r="V226" s="66"/>
      <c r="W226" s="66"/>
      <c r="X226" s="66"/>
      <c r="Y226" s="66"/>
    </row>
    <row r="227" spans="2:25"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5"/>
      <c r="R227" s="64"/>
      <c r="S227" s="64"/>
      <c r="T227" s="66"/>
      <c r="U227" s="66"/>
      <c r="V227" s="66"/>
      <c r="W227" s="66"/>
      <c r="X227" s="66"/>
      <c r="Y227" s="66"/>
    </row>
    <row r="228" spans="2:25"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5"/>
      <c r="R228" s="64"/>
      <c r="S228" s="64"/>
      <c r="T228" s="66"/>
      <c r="U228" s="66"/>
      <c r="V228" s="66"/>
      <c r="W228" s="66"/>
      <c r="X228" s="66"/>
      <c r="Y228" s="66"/>
    </row>
    <row r="229" spans="2:25"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5"/>
      <c r="R229" s="64"/>
      <c r="S229" s="64"/>
      <c r="T229" s="66"/>
      <c r="U229" s="66"/>
      <c r="V229" s="66"/>
      <c r="W229" s="66"/>
      <c r="X229" s="66"/>
      <c r="Y229" s="66"/>
    </row>
    <row r="230" spans="2:25"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5"/>
      <c r="R230" s="64"/>
      <c r="S230" s="64"/>
      <c r="T230" s="66"/>
      <c r="U230" s="66"/>
      <c r="V230" s="66"/>
      <c r="W230" s="66"/>
      <c r="X230" s="66"/>
      <c r="Y230" s="66"/>
    </row>
    <row r="231" spans="2:25"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5"/>
      <c r="R231" s="64"/>
      <c r="S231" s="64"/>
      <c r="T231" s="66"/>
      <c r="U231" s="66"/>
      <c r="V231" s="66"/>
      <c r="W231" s="66"/>
      <c r="X231" s="66"/>
      <c r="Y231" s="66"/>
    </row>
    <row r="232" spans="2:25"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5"/>
      <c r="R232" s="64"/>
      <c r="S232" s="64"/>
      <c r="T232" s="66"/>
      <c r="U232" s="66"/>
      <c r="V232" s="66"/>
      <c r="W232" s="66"/>
      <c r="X232" s="66"/>
      <c r="Y232" s="66"/>
    </row>
    <row r="233" spans="2:25"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5"/>
      <c r="R233" s="64"/>
      <c r="S233" s="64"/>
      <c r="T233" s="66"/>
      <c r="U233" s="66"/>
      <c r="V233" s="66"/>
      <c r="W233" s="66"/>
      <c r="X233" s="66"/>
      <c r="Y233" s="66"/>
    </row>
    <row r="234" spans="2:25"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5"/>
      <c r="R234" s="64"/>
      <c r="S234" s="64"/>
      <c r="T234" s="66"/>
      <c r="U234" s="66"/>
      <c r="V234" s="66"/>
      <c r="W234" s="66"/>
      <c r="X234" s="66"/>
      <c r="Y234" s="66"/>
    </row>
    <row r="235" spans="2:25"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5"/>
      <c r="R235" s="64"/>
      <c r="S235" s="64"/>
      <c r="T235" s="66"/>
      <c r="U235" s="66"/>
      <c r="V235" s="66"/>
      <c r="W235" s="66"/>
      <c r="X235" s="66"/>
      <c r="Y235" s="66"/>
    </row>
    <row r="236" spans="2:25"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5"/>
      <c r="R236" s="64"/>
      <c r="S236" s="64"/>
      <c r="T236" s="66"/>
      <c r="U236" s="66"/>
      <c r="V236" s="66"/>
      <c r="W236" s="66"/>
      <c r="X236" s="66"/>
      <c r="Y236" s="66"/>
    </row>
    <row r="237" spans="2:25"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5"/>
      <c r="R237" s="64"/>
      <c r="S237" s="64"/>
      <c r="T237" s="66"/>
      <c r="U237" s="66"/>
      <c r="V237" s="66"/>
      <c r="W237" s="66"/>
      <c r="X237" s="66"/>
      <c r="Y237" s="66"/>
    </row>
    <row r="238" spans="2:25"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5"/>
      <c r="R238" s="64"/>
      <c r="S238" s="64"/>
      <c r="T238" s="66"/>
      <c r="U238" s="66"/>
      <c r="V238" s="66"/>
      <c r="W238" s="66"/>
      <c r="X238" s="66"/>
      <c r="Y238" s="66"/>
    </row>
    <row r="239" spans="2:25"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5"/>
      <c r="R239" s="64"/>
      <c r="S239" s="64"/>
      <c r="T239" s="66"/>
      <c r="U239" s="66"/>
      <c r="V239" s="66"/>
      <c r="W239" s="66"/>
      <c r="X239" s="66"/>
      <c r="Y239" s="66"/>
    </row>
    <row r="240" spans="2:25"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5"/>
      <c r="R240" s="64"/>
      <c r="S240" s="64"/>
      <c r="T240" s="66"/>
      <c r="U240" s="66"/>
      <c r="V240" s="66"/>
      <c r="W240" s="66"/>
      <c r="X240" s="66"/>
      <c r="Y240" s="66"/>
    </row>
    <row r="241" spans="2:25"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5"/>
      <c r="R241" s="64"/>
      <c r="S241" s="64"/>
      <c r="T241" s="66"/>
      <c r="U241" s="66"/>
      <c r="V241" s="66"/>
      <c r="W241" s="66"/>
      <c r="X241" s="66"/>
      <c r="Y241" s="66"/>
    </row>
    <row r="242" spans="2:25"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5"/>
      <c r="R242" s="64"/>
      <c r="S242" s="64"/>
      <c r="T242" s="66"/>
      <c r="U242" s="66"/>
      <c r="V242" s="66"/>
      <c r="W242" s="66"/>
      <c r="X242" s="66"/>
      <c r="Y242" s="66"/>
    </row>
    <row r="243" spans="2:25"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5"/>
      <c r="R243" s="64"/>
      <c r="S243" s="64"/>
      <c r="T243" s="66"/>
      <c r="U243" s="66"/>
      <c r="V243" s="66"/>
      <c r="W243" s="66"/>
      <c r="X243" s="66"/>
      <c r="Y243" s="66"/>
    </row>
    <row r="244" spans="2:25"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5"/>
      <c r="R244" s="64"/>
      <c r="S244" s="64"/>
      <c r="T244" s="66"/>
      <c r="U244" s="66"/>
      <c r="V244" s="66"/>
      <c r="W244" s="66"/>
      <c r="X244" s="66"/>
      <c r="Y244" s="66"/>
    </row>
    <row r="245" spans="2:25"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5"/>
      <c r="R245" s="64"/>
      <c r="S245" s="64"/>
      <c r="T245" s="66"/>
      <c r="U245" s="66"/>
      <c r="V245" s="66"/>
      <c r="W245" s="66"/>
      <c r="X245" s="66"/>
      <c r="Y245" s="66"/>
    </row>
    <row r="246" spans="2:25"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5"/>
      <c r="R246" s="64"/>
      <c r="S246" s="64"/>
      <c r="T246" s="66"/>
      <c r="U246" s="66"/>
      <c r="V246" s="66"/>
      <c r="W246" s="66"/>
      <c r="X246" s="66"/>
      <c r="Y246" s="66"/>
    </row>
    <row r="247" spans="2:25"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5"/>
      <c r="R247" s="64"/>
      <c r="S247" s="64"/>
      <c r="T247" s="66"/>
      <c r="U247" s="66"/>
      <c r="V247" s="66"/>
      <c r="W247" s="66"/>
      <c r="X247" s="66"/>
      <c r="Y247" s="66"/>
    </row>
    <row r="248" spans="2:25"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5"/>
      <c r="R248" s="64"/>
      <c r="S248" s="64"/>
      <c r="T248" s="66"/>
      <c r="U248" s="66"/>
      <c r="V248" s="66"/>
      <c r="W248" s="66"/>
      <c r="X248" s="66"/>
      <c r="Y248" s="66"/>
    </row>
    <row r="249" spans="2:25"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5"/>
      <c r="R249" s="64"/>
      <c r="S249" s="64"/>
      <c r="T249" s="66"/>
      <c r="U249" s="66"/>
      <c r="V249" s="66"/>
      <c r="W249" s="66"/>
      <c r="X249" s="66"/>
      <c r="Y249" s="66"/>
    </row>
    <row r="250" spans="2:25"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5"/>
      <c r="R250" s="64"/>
      <c r="S250" s="64"/>
      <c r="T250" s="66"/>
      <c r="U250" s="66"/>
      <c r="V250" s="66"/>
      <c r="W250" s="66"/>
      <c r="X250" s="66"/>
      <c r="Y250" s="66"/>
    </row>
    <row r="251" spans="2:25"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5"/>
      <c r="R251" s="64"/>
      <c r="S251" s="64"/>
      <c r="T251" s="66"/>
      <c r="U251" s="66"/>
      <c r="V251" s="66"/>
      <c r="W251" s="66"/>
      <c r="X251" s="66"/>
      <c r="Y251" s="66"/>
    </row>
    <row r="252" spans="2:25"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5"/>
      <c r="R252" s="64"/>
      <c r="S252" s="64"/>
      <c r="T252" s="66"/>
      <c r="U252" s="66"/>
      <c r="V252" s="66"/>
      <c r="W252" s="66"/>
      <c r="X252" s="66"/>
      <c r="Y252" s="66"/>
    </row>
    <row r="253" spans="2:25"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5"/>
      <c r="R253" s="64"/>
      <c r="S253" s="64"/>
      <c r="T253" s="66"/>
      <c r="U253" s="66"/>
      <c r="V253" s="66"/>
      <c r="W253" s="66"/>
      <c r="X253" s="66"/>
      <c r="Y253" s="66"/>
    </row>
    <row r="254" spans="2:25"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5"/>
      <c r="R254" s="64"/>
      <c r="S254" s="64"/>
      <c r="T254" s="66"/>
      <c r="U254" s="66"/>
      <c r="V254" s="66"/>
      <c r="W254" s="66"/>
      <c r="X254" s="66"/>
      <c r="Y254" s="66"/>
    </row>
    <row r="255" spans="2:25"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5"/>
      <c r="R255" s="64"/>
      <c r="S255" s="64"/>
      <c r="T255" s="66"/>
      <c r="U255" s="66"/>
      <c r="V255" s="66"/>
      <c r="W255" s="66"/>
      <c r="X255" s="66"/>
      <c r="Y255" s="66"/>
    </row>
    <row r="256" spans="2:25"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5"/>
      <c r="R256" s="64"/>
      <c r="S256" s="64"/>
      <c r="T256" s="66"/>
      <c r="U256" s="66"/>
      <c r="V256" s="66"/>
      <c r="W256" s="66"/>
      <c r="X256" s="66"/>
      <c r="Y256" s="66"/>
    </row>
    <row r="257" spans="2:25"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5"/>
      <c r="R257" s="64"/>
      <c r="S257" s="64"/>
      <c r="T257" s="66"/>
      <c r="U257" s="66"/>
      <c r="V257" s="66"/>
      <c r="W257" s="66"/>
      <c r="X257" s="66"/>
      <c r="Y257" s="66"/>
    </row>
    <row r="258" spans="2:25"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5"/>
      <c r="R258" s="64"/>
      <c r="S258" s="64"/>
      <c r="T258" s="66"/>
      <c r="U258" s="66"/>
      <c r="V258" s="66"/>
      <c r="W258" s="66"/>
      <c r="X258" s="66"/>
      <c r="Y258" s="66"/>
    </row>
    <row r="259" spans="2:25"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5"/>
      <c r="R259" s="64"/>
      <c r="S259" s="64"/>
      <c r="T259" s="66"/>
      <c r="U259" s="66"/>
      <c r="V259" s="66"/>
      <c r="W259" s="66"/>
      <c r="X259" s="66"/>
      <c r="Y259" s="66"/>
    </row>
    <row r="260" spans="2:25"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5"/>
      <c r="R260" s="64"/>
      <c r="S260" s="64"/>
      <c r="T260" s="66"/>
      <c r="U260" s="66"/>
      <c r="V260" s="66"/>
      <c r="W260" s="66"/>
      <c r="X260" s="66"/>
      <c r="Y260" s="66"/>
    </row>
    <row r="261" spans="2:25"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5"/>
      <c r="R261" s="64"/>
      <c r="S261" s="64"/>
      <c r="T261" s="66"/>
      <c r="U261" s="66"/>
      <c r="V261" s="66"/>
      <c r="W261" s="66"/>
      <c r="X261" s="66"/>
      <c r="Y261" s="66"/>
    </row>
    <row r="262" spans="2:25"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5"/>
      <c r="R262" s="64"/>
      <c r="S262" s="64"/>
      <c r="T262" s="66"/>
      <c r="U262" s="66"/>
      <c r="V262" s="66"/>
      <c r="W262" s="66"/>
      <c r="X262" s="66"/>
      <c r="Y262" s="66"/>
    </row>
    <row r="263" spans="2:25"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5"/>
      <c r="R263" s="64"/>
      <c r="S263" s="64"/>
      <c r="T263" s="66"/>
      <c r="U263" s="66"/>
      <c r="V263" s="66"/>
      <c r="W263" s="66"/>
      <c r="X263" s="66"/>
      <c r="Y263" s="66"/>
    </row>
    <row r="264" spans="2:25"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5"/>
      <c r="R264" s="64"/>
      <c r="S264" s="64"/>
      <c r="T264" s="66"/>
      <c r="U264" s="66"/>
      <c r="V264" s="66"/>
      <c r="W264" s="66"/>
      <c r="X264" s="66"/>
      <c r="Y264" s="66"/>
    </row>
    <row r="265" spans="2:25"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5"/>
      <c r="R265" s="64"/>
      <c r="S265" s="64"/>
      <c r="T265" s="66"/>
      <c r="U265" s="66"/>
      <c r="V265" s="66"/>
      <c r="W265" s="66"/>
      <c r="X265" s="66"/>
      <c r="Y265" s="66"/>
    </row>
    <row r="266" spans="2:25"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5"/>
      <c r="R266" s="64"/>
      <c r="S266" s="64"/>
      <c r="T266" s="66"/>
      <c r="U266" s="66"/>
      <c r="V266" s="66"/>
      <c r="W266" s="66"/>
      <c r="X266" s="66"/>
      <c r="Y266" s="66"/>
    </row>
    <row r="267" spans="2:25"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5"/>
      <c r="R267" s="64"/>
      <c r="S267" s="64"/>
      <c r="T267" s="66"/>
      <c r="U267" s="66"/>
      <c r="V267" s="66"/>
      <c r="W267" s="66"/>
      <c r="X267" s="66"/>
      <c r="Y267" s="66"/>
    </row>
    <row r="268" spans="2:25"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5"/>
      <c r="R268" s="64"/>
      <c r="S268" s="64"/>
      <c r="T268" s="66"/>
      <c r="U268" s="66"/>
      <c r="V268" s="66"/>
      <c r="W268" s="66"/>
      <c r="X268" s="66"/>
      <c r="Y268" s="66"/>
    </row>
    <row r="269" spans="2:25"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5"/>
      <c r="R269" s="64"/>
      <c r="S269" s="64"/>
      <c r="T269" s="66"/>
      <c r="U269" s="66"/>
      <c r="V269" s="66"/>
      <c r="W269" s="66"/>
      <c r="X269" s="66"/>
      <c r="Y269" s="66"/>
    </row>
    <row r="270" spans="2:25"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5"/>
      <c r="R270" s="64"/>
      <c r="S270" s="64"/>
      <c r="T270" s="66"/>
      <c r="U270" s="66"/>
      <c r="V270" s="66"/>
      <c r="W270" s="66"/>
      <c r="X270" s="66"/>
      <c r="Y270" s="66"/>
    </row>
    <row r="271" spans="2:25"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5"/>
      <c r="R271" s="64"/>
      <c r="S271" s="64"/>
      <c r="T271" s="66"/>
      <c r="U271" s="66"/>
      <c r="V271" s="66"/>
      <c r="W271" s="66"/>
      <c r="X271" s="66"/>
      <c r="Y271" s="66"/>
    </row>
    <row r="272" spans="2:25"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5"/>
      <c r="R272" s="64"/>
      <c r="S272" s="64"/>
      <c r="T272" s="66"/>
      <c r="U272" s="66"/>
      <c r="V272" s="66"/>
      <c r="W272" s="66"/>
      <c r="X272" s="66"/>
      <c r="Y272" s="66"/>
    </row>
    <row r="273" spans="2:25"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5"/>
      <c r="R273" s="64"/>
      <c r="S273" s="64"/>
      <c r="T273" s="66"/>
      <c r="U273" s="66"/>
      <c r="V273" s="66"/>
      <c r="W273" s="66"/>
      <c r="X273" s="66"/>
      <c r="Y273" s="66"/>
    </row>
    <row r="274" spans="2:25"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5"/>
      <c r="R274" s="64"/>
      <c r="S274" s="64"/>
      <c r="T274" s="66"/>
      <c r="U274" s="66"/>
      <c r="V274" s="66"/>
      <c r="W274" s="66"/>
      <c r="X274" s="66"/>
      <c r="Y274" s="66"/>
    </row>
    <row r="275" spans="2:25"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5"/>
      <c r="R275" s="64"/>
      <c r="S275" s="64"/>
      <c r="T275" s="66"/>
      <c r="U275" s="66"/>
      <c r="V275" s="66"/>
      <c r="W275" s="66"/>
      <c r="X275" s="66"/>
      <c r="Y275" s="66"/>
    </row>
    <row r="276" spans="2:25"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5"/>
      <c r="R276" s="64"/>
      <c r="S276" s="64"/>
      <c r="T276" s="66"/>
      <c r="U276" s="66"/>
      <c r="V276" s="66"/>
      <c r="W276" s="66"/>
      <c r="X276" s="66"/>
      <c r="Y276" s="66"/>
    </row>
    <row r="277" spans="2:25"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5"/>
      <c r="R277" s="64"/>
      <c r="S277" s="64"/>
      <c r="T277" s="66"/>
      <c r="U277" s="66"/>
      <c r="V277" s="66"/>
      <c r="W277" s="66"/>
      <c r="X277" s="66"/>
      <c r="Y277" s="66"/>
    </row>
    <row r="278" spans="2:25"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5"/>
      <c r="R278" s="64"/>
      <c r="S278" s="64"/>
      <c r="T278" s="66"/>
      <c r="U278" s="66"/>
      <c r="V278" s="66"/>
      <c r="W278" s="66"/>
      <c r="X278" s="66"/>
      <c r="Y278" s="66"/>
    </row>
    <row r="279" spans="2:25"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5"/>
      <c r="R279" s="64"/>
      <c r="S279" s="64"/>
      <c r="T279" s="66"/>
      <c r="U279" s="66"/>
      <c r="V279" s="66"/>
      <c r="W279" s="66"/>
      <c r="X279" s="66"/>
      <c r="Y279" s="66"/>
    </row>
    <row r="280" spans="2:25"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5"/>
      <c r="R280" s="64"/>
      <c r="S280" s="64"/>
      <c r="T280" s="66"/>
      <c r="U280" s="66"/>
      <c r="V280" s="66"/>
      <c r="W280" s="66"/>
      <c r="X280" s="66"/>
      <c r="Y280" s="66"/>
    </row>
    <row r="281" spans="2:25"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5"/>
      <c r="R281" s="64"/>
      <c r="S281" s="64"/>
      <c r="T281" s="66"/>
      <c r="U281" s="66"/>
      <c r="V281" s="66"/>
      <c r="W281" s="66"/>
      <c r="X281" s="66"/>
      <c r="Y281" s="66"/>
    </row>
    <row r="282" spans="2:25"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5"/>
      <c r="R282" s="64"/>
      <c r="S282" s="64"/>
      <c r="T282" s="66"/>
      <c r="U282" s="66"/>
      <c r="V282" s="66"/>
      <c r="W282" s="66"/>
      <c r="X282" s="66"/>
      <c r="Y282" s="66"/>
    </row>
    <row r="283" spans="2:25"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5"/>
      <c r="R283" s="64"/>
      <c r="S283" s="64"/>
      <c r="T283" s="66"/>
      <c r="U283" s="66"/>
      <c r="V283" s="66"/>
      <c r="W283" s="66"/>
      <c r="X283" s="66"/>
      <c r="Y283" s="66"/>
    </row>
    <row r="284" spans="2:25"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5"/>
      <c r="R284" s="64"/>
      <c r="S284" s="64"/>
      <c r="T284" s="66"/>
      <c r="U284" s="66"/>
      <c r="V284" s="66"/>
      <c r="W284" s="66"/>
      <c r="X284" s="66"/>
      <c r="Y284" s="66"/>
    </row>
    <row r="285" spans="2:25"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5"/>
      <c r="R285" s="64"/>
      <c r="S285" s="64"/>
      <c r="T285" s="66"/>
      <c r="U285" s="66"/>
      <c r="V285" s="66"/>
      <c r="W285" s="66"/>
      <c r="X285" s="66"/>
      <c r="Y285" s="66"/>
    </row>
    <row r="286" spans="2:25"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5"/>
      <c r="R286" s="64"/>
      <c r="S286" s="64"/>
      <c r="T286" s="66"/>
      <c r="U286" s="66"/>
      <c r="V286" s="66"/>
      <c r="W286" s="66"/>
      <c r="X286" s="66"/>
      <c r="Y286" s="66"/>
    </row>
    <row r="287" spans="2:25"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5"/>
      <c r="R287" s="64"/>
      <c r="S287" s="64"/>
      <c r="T287" s="66"/>
      <c r="U287" s="66"/>
      <c r="V287" s="66"/>
      <c r="W287" s="66"/>
      <c r="X287" s="66"/>
      <c r="Y287" s="66"/>
    </row>
    <row r="288" spans="2:25"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5"/>
      <c r="R288" s="64"/>
      <c r="S288" s="64"/>
      <c r="T288" s="66"/>
      <c r="U288" s="66"/>
      <c r="V288" s="66"/>
      <c r="W288" s="66"/>
      <c r="X288" s="66"/>
      <c r="Y288" s="66"/>
    </row>
    <row r="289" spans="2:25"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5"/>
      <c r="R289" s="64"/>
      <c r="S289" s="64"/>
      <c r="T289" s="66"/>
      <c r="U289" s="66"/>
      <c r="V289" s="66"/>
      <c r="W289" s="66"/>
      <c r="X289" s="66"/>
      <c r="Y289" s="66"/>
    </row>
    <row r="290" spans="2:25"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5"/>
      <c r="R290" s="64"/>
      <c r="S290" s="64"/>
      <c r="T290" s="66"/>
      <c r="U290" s="66"/>
      <c r="V290" s="66"/>
      <c r="W290" s="66"/>
      <c r="X290" s="66"/>
      <c r="Y290" s="66"/>
    </row>
    <row r="291" spans="2:25"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5"/>
      <c r="R291" s="64"/>
      <c r="S291" s="64"/>
      <c r="T291" s="66"/>
      <c r="U291" s="66"/>
      <c r="V291" s="66"/>
      <c r="W291" s="66"/>
      <c r="X291" s="66"/>
      <c r="Y291" s="66"/>
    </row>
    <row r="292" spans="2:25"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5"/>
      <c r="R292" s="64"/>
      <c r="S292" s="64"/>
      <c r="T292" s="66"/>
      <c r="U292" s="66"/>
      <c r="V292" s="66"/>
      <c r="W292" s="66"/>
      <c r="X292" s="66"/>
      <c r="Y292" s="66"/>
    </row>
    <row r="293" spans="2:25"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5"/>
      <c r="R293" s="64"/>
      <c r="S293" s="64"/>
      <c r="T293" s="66"/>
      <c r="U293" s="66"/>
      <c r="V293" s="66"/>
      <c r="W293" s="66"/>
      <c r="X293" s="66"/>
      <c r="Y293" s="66"/>
    </row>
    <row r="294" spans="2:25"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5"/>
      <c r="R294" s="64"/>
      <c r="S294" s="64"/>
      <c r="T294" s="66"/>
      <c r="U294" s="66"/>
      <c r="V294" s="66"/>
      <c r="W294" s="66"/>
      <c r="X294" s="66"/>
      <c r="Y294" s="66"/>
    </row>
    <row r="295" spans="2:25"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5"/>
      <c r="R295" s="64"/>
      <c r="S295" s="64"/>
      <c r="T295" s="66"/>
      <c r="U295" s="66"/>
      <c r="V295" s="66"/>
      <c r="W295" s="66"/>
      <c r="X295" s="66"/>
      <c r="Y295" s="66"/>
    </row>
    <row r="296" spans="2:25"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5"/>
      <c r="R296" s="64"/>
      <c r="S296" s="64"/>
      <c r="T296" s="66"/>
      <c r="U296" s="66"/>
      <c r="V296" s="66"/>
      <c r="W296" s="66"/>
      <c r="X296" s="66"/>
      <c r="Y296" s="66"/>
    </row>
    <row r="297" spans="2:25"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5"/>
      <c r="R297" s="64"/>
      <c r="S297" s="64"/>
      <c r="T297" s="66"/>
      <c r="U297" s="66"/>
      <c r="V297" s="66"/>
      <c r="W297" s="66"/>
      <c r="X297" s="66"/>
      <c r="Y297" s="66"/>
    </row>
    <row r="298" spans="2:25"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5"/>
      <c r="R298" s="64"/>
      <c r="S298" s="64"/>
      <c r="T298" s="66"/>
      <c r="U298" s="66"/>
      <c r="V298" s="66"/>
      <c r="W298" s="66"/>
      <c r="X298" s="66"/>
      <c r="Y298" s="66"/>
    </row>
    <row r="299" spans="2:25"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5"/>
      <c r="R299" s="64"/>
      <c r="S299" s="64"/>
      <c r="T299" s="66"/>
      <c r="U299" s="66"/>
      <c r="V299" s="66"/>
      <c r="W299" s="66"/>
      <c r="X299" s="66"/>
      <c r="Y299" s="66"/>
    </row>
    <row r="300" spans="2:25"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5"/>
      <c r="R300" s="64"/>
      <c r="S300" s="64"/>
      <c r="T300" s="66"/>
      <c r="U300" s="66"/>
      <c r="V300" s="66"/>
      <c r="W300" s="66"/>
      <c r="X300" s="66"/>
      <c r="Y300" s="66"/>
    </row>
    <row r="301" spans="2:25"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5"/>
      <c r="R301" s="64"/>
      <c r="S301" s="64"/>
      <c r="T301" s="66"/>
      <c r="U301" s="66"/>
      <c r="V301" s="66"/>
      <c r="W301" s="66"/>
      <c r="X301" s="66"/>
      <c r="Y301" s="66"/>
    </row>
    <row r="302" spans="2:25"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5"/>
      <c r="R302" s="64"/>
      <c r="S302" s="64"/>
      <c r="T302" s="66"/>
      <c r="U302" s="66"/>
      <c r="V302" s="66"/>
      <c r="W302" s="66"/>
      <c r="X302" s="66"/>
      <c r="Y302" s="66"/>
    </row>
    <row r="303" spans="2:25"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5"/>
      <c r="R303" s="64"/>
      <c r="S303" s="64"/>
      <c r="T303" s="66"/>
      <c r="U303" s="66"/>
      <c r="V303" s="66"/>
      <c r="W303" s="66"/>
      <c r="X303" s="66"/>
      <c r="Y303" s="66"/>
    </row>
    <row r="304" spans="2:25"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5"/>
      <c r="R304" s="64"/>
      <c r="S304" s="64"/>
      <c r="T304" s="66"/>
      <c r="U304" s="66"/>
      <c r="V304" s="66"/>
      <c r="W304" s="66"/>
      <c r="X304" s="66"/>
      <c r="Y304" s="66"/>
    </row>
    <row r="305" spans="2:25"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5"/>
      <c r="R305" s="64"/>
      <c r="S305" s="64"/>
      <c r="T305" s="66"/>
      <c r="U305" s="66"/>
      <c r="V305" s="66"/>
      <c r="W305" s="66"/>
      <c r="X305" s="66"/>
      <c r="Y305" s="66"/>
    </row>
    <row r="306" spans="2:25"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5"/>
      <c r="R306" s="64"/>
      <c r="S306" s="64"/>
      <c r="T306" s="66"/>
      <c r="U306" s="66"/>
      <c r="V306" s="66"/>
      <c r="W306" s="66"/>
      <c r="X306" s="66"/>
      <c r="Y306" s="66"/>
    </row>
    <row r="307" spans="2:25"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5"/>
      <c r="R307" s="64"/>
      <c r="S307" s="64"/>
      <c r="T307" s="66"/>
      <c r="U307" s="66"/>
      <c r="V307" s="66"/>
      <c r="W307" s="66"/>
      <c r="X307" s="66"/>
      <c r="Y307" s="66"/>
    </row>
    <row r="308" spans="2:25"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5"/>
      <c r="R308" s="64"/>
      <c r="S308" s="64"/>
      <c r="T308" s="66"/>
      <c r="U308" s="66"/>
      <c r="V308" s="66"/>
      <c r="W308" s="66"/>
      <c r="X308" s="66"/>
      <c r="Y308" s="66"/>
    </row>
    <row r="309" spans="2:25"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5"/>
      <c r="R309" s="64"/>
      <c r="S309" s="64"/>
      <c r="T309" s="66"/>
      <c r="U309" s="66"/>
      <c r="V309" s="66"/>
      <c r="W309" s="66"/>
      <c r="X309" s="66"/>
      <c r="Y309" s="66"/>
    </row>
    <row r="310" spans="2:25"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5"/>
      <c r="R310" s="64"/>
      <c r="S310" s="64"/>
      <c r="T310" s="66"/>
      <c r="U310" s="66"/>
      <c r="V310" s="66"/>
      <c r="W310" s="66"/>
      <c r="X310" s="66"/>
      <c r="Y310" s="66"/>
    </row>
    <row r="311" spans="2:25"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5"/>
      <c r="R311" s="64"/>
      <c r="S311" s="64"/>
      <c r="T311" s="66"/>
      <c r="U311" s="66"/>
      <c r="V311" s="66"/>
      <c r="W311" s="66"/>
      <c r="X311" s="66"/>
      <c r="Y311" s="66"/>
    </row>
    <row r="312" spans="2:25"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5"/>
      <c r="R312" s="64"/>
      <c r="S312" s="64"/>
      <c r="T312" s="66"/>
      <c r="U312" s="66"/>
      <c r="V312" s="66"/>
      <c r="W312" s="66"/>
      <c r="X312" s="66"/>
      <c r="Y312" s="66"/>
    </row>
    <row r="313" spans="2:25"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5"/>
      <c r="R313" s="64"/>
      <c r="S313" s="64"/>
      <c r="T313" s="66"/>
      <c r="U313" s="66"/>
      <c r="V313" s="66"/>
      <c r="W313" s="66"/>
      <c r="X313" s="66"/>
      <c r="Y313" s="66"/>
    </row>
    <row r="314" spans="2:25"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5"/>
      <c r="R314" s="64"/>
      <c r="S314" s="64"/>
      <c r="T314" s="66"/>
      <c r="U314" s="66"/>
      <c r="V314" s="66"/>
      <c r="W314" s="66"/>
      <c r="X314" s="66"/>
      <c r="Y314" s="66"/>
    </row>
    <row r="315" spans="2:25"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5"/>
      <c r="R315" s="64"/>
      <c r="S315" s="64"/>
      <c r="T315" s="66"/>
      <c r="U315" s="66"/>
      <c r="V315" s="66"/>
      <c r="W315" s="66"/>
      <c r="X315" s="66"/>
      <c r="Y315" s="66"/>
    </row>
    <row r="316" spans="2:25"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5"/>
      <c r="R316" s="64"/>
      <c r="S316" s="64"/>
      <c r="T316" s="66"/>
      <c r="U316" s="66"/>
      <c r="V316" s="66"/>
      <c r="W316" s="66"/>
      <c r="X316" s="66"/>
      <c r="Y316" s="66"/>
    </row>
    <row r="317" spans="2:25"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5"/>
      <c r="R317" s="64"/>
      <c r="S317" s="64"/>
      <c r="T317" s="66"/>
      <c r="U317" s="66"/>
      <c r="V317" s="66"/>
      <c r="W317" s="66"/>
      <c r="X317" s="66"/>
      <c r="Y317" s="66"/>
    </row>
    <row r="318" spans="2:25"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5"/>
      <c r="R318" s="64"/>
      <c r="S318" s="64"/>
      <c r="T318" s="66"/>
      <c r="U318" s="66"/>
      <c r="V318" s="66"/>
      <c r="W318" s="66"/>
      <c r="X318" s="66"/>
      <c r="Y318" s="66"/>
    </row>
    <row r="319" spans="2:25"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5"/>
      <c r="R319" s="64"/>
      <c r="S319" s="64"/>
      <c r="T319" s="66"/>
      <c r="U319" s="66"/>
      <c r="V319" s="66"/>
      <c r="W319" s="66"/>
      <c r="X319" s="66"/>
      <c r="Y319" s="66"/>
    </row>
    <row r="320" spans="2:25"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5"/>
      <c r="R320" s="64"/>
      <c r="S320" s="64"/>
      <c r="T320" s="66"/>
      <c r="U320" s="66"/>
      <c r="V320" s="66"/>
      <c r="W320" s="66"/>
      <c r="X320" s="66"/>
      <c r="Y320" s="66"/>
    </row>
    <row r="321" spans="2:25"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5"/>
      <c r="R321" s="64"/>
      <c r="S321" s="64"/>
      <c r="T321" s="66"/>
      <c r="U321" s="66"/>
      <c r="V321" s="66"/>
      <c r="W321" s="66"/>
      <c r="X321" s="66"/>
      <c r="Y321" s="66"/>
    </row>
    <row r="322" spans="2:25"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5"/>
      <c r="R322" s="64"/>
      <c r="S322" s="64"/>
      <c r="T322" s="66"/>
      <c r="U322" s="66"/>
      <c r="V322" s="66"/>
      <c r="W322" s="66"/>
      <c r="X322" s="66"/>
      <c r="Y322" s="66"/>
    </row>
    <row r="323" spans="2:25"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5"/>
      <c r="R323" s="64"/>
      <c r="S323" s="64"/>
      <c r="T323" s="66"/>
      <c r="U323" s="66"/>
      <c r="V323" s="66"/>
      <c r="W323" s="66"/>
      <c r="X323" s="66"/>
      <c r="Y323" s="66"/>
    </row>
    <row r="324" spans="2:25"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5"/>
      <c r="R324" s="64"/>
      <c r="S324" s="64"/>
      <c r="T324" s="66"/>
      <c r="U324" s="66"/>
      <c r="V324" s="66"/>
      <c r="W324" s="66"/>
      <c r="X324" s="66"/>
      <c r="Y324" s="66"/>
    </row>
    <row r="325" spans="2:25"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5"/>
      <c r="R325" s="64"/>
      <c r="S325" s="64"/>
      <c r="T325" s="66"/>
      <c r="U325" s="66"/>
      <c r="V325" s="66"/>
      <c r="W325" s="66"/>
      <c r="X325" s="66"/>
      <c r="Y325" s="66"/>
    </row>
    <row r="326" spans="2:25"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5"/>
      <c r="R326" s="64"/>
      <c r="S326" s="64"/>
      <c r="T326" s="66"/>
      <c r="U326" s="66"/>
      <c r="V326" s="66"/>
      <c r="W326" s="66"/>
      <c r="X326" s="66"/>
      <c r="Y326" s="66"/>
    </row>
    <row r="327" spans="2:25"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5"/>
      <c r="R327" s="64"/>
      <c r="S327" s="64"/>
      <c r="T327" s="66"/>
      <c r="U327" s="66"/>
      <c r="V327" s="66"/>
      <c r="W327" s="66"/>
      <c r="X327" s="66"/>
      <c r="Y327" s="66"/>
    </row>
    <row r="328" spans="2:25"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5"/>
      <c r="R328" s="64"/>
      <c r="S328" s="64"/>
      <c r="T328" s="66"/>
      <c r="U328" s="66"/>
      <c r="V328" s="66"/>
      <c r="W328" s="66"/>
      <c r="X328" s="66"/>
      <c r="Y328" s="66"/>
    </row>
    <row r="329" spans="2:25"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5"/>
      <c r="R329" s="64"/>
      <c r="S329" s="64"/>
      <c r="T329" s="66"/>
      <c r="U329" s="66"/>
      <c r="V329" s="66"/>
      <c r="W329" s="66"/>
      <c r="X329" s="66"/>
      <c r="Y329" s="66"/>
    </row>
    <row r="330" spans="2:25"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5"/>
      <c r="R330" s="64"/>
      <c r="S330" s="64"/>
      <c r="T330" s="66"/>
      <c r="U330" s="66"/>
      <c r="V330" s="66"/>
      <c r="W330" s="66"/>
      <c r="X330" s="66"/>
      <c r="Y330" s="66"/>
    </row>
    <row r="331" spans="2:25"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5"/>
      <c r="R331" s="64"/>
      <c r="S331" s="64"/>
      <c r="T331" s="66"/>
      <c r="U331" s="66"/>
      <c r="V331" s="66"/>
      <c r="W331" s="66"/>
      <c r="X331" s="66"/>
      <c r="Y331" s="66"/>
    </row>
    <row r="332" spans="2:25"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5"/>
      <c r="R332" s="64"/>
      <c r="S332" s="64"/>
      <c r="T332" s="66"/>
      <c r="U332" s="66"/>
      <c r="V332" s="66"/>
      <c r="W332" s="66"/>
      <c r="X332" s="66"/>
      <c r="Y332" s="66"/>
    </row>
    <row r="333" spans="2:25"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5"/>
      <c r="R333" s="64"/>
      <c r="S333" s="64"/>
      <c r="T333" s="66"/>
      <c r="U333" s="66"/>
      <c r="V333" s="66"/>
      <c r="W333" s="66"/>
      <c r="X333" s="66"/>
      <c r="Y333" s="66"/>
    </row>
    <row r="334" spans="2:25"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5"/>
      <c r="R334" s="64"/>
      <c r="S334" s="64"/>
      <c r="T334" s="66"/>
      <c r="U334" s="66"/>
      <c r="V334" s="66"/>
      <c r="W334" s="66"/>
      <c r="X334" s="66"/>
      <c r="Y334" s="66"/>
    </row>
    <row r="335" spans="2:25"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5"/>
      <c r="R335" s="64"/>
      <c r="S335" s="64"/>
      <c r="T335" s="66"/>
      <c r="U335" s="66"/>
      <c r="V335" s="66"/>
      <c r="W335" s="66"/>
      <c r="X335" s="66"/>
      <c r="Y335" s="66"/>
    </row>
    <row r="336" spans="2:25"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5"/>
      <c r="R336" s="64"/>
      <c r="S336" s="64"/>
      <c r="T336" s="66"/>
      <c r="U336" s="66"/>
      <c r="V336" s="66"/>
      <c r="W336" s="66"/>
      <c r="X336" s="66"/>
      <c r="Y336" s="66"/>
    </row>
    <row r="337" spans="2:25"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5"/>
      <c r="R337" s="64"/>
      <c r="S337" s="64"/>
      <c r="T337" s="66"/>
      <c r="U337" s="66"/>
      <c r="V337" s="66"/>
      <c r="W337" s="66"/>
      <c r="X337" s="66"/>
      <c r="Y337" s="66"/>
    </row>
    <row r="338" spans="2:25"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5"/>
      <c r="R338" s="64"/>
      <c r="S338" s="64"/>
      <c r="T338" s="66"/>
      <c r="U338" s="66"/>
      <c r="V338" s="66"/>
      <c r="W338" s="66"/>
      <c r="X338" s="66"/>
      <c r="Y338" s="66"/>
    </row>
    <row r="339" spans="2:25"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5"/>
      <c r="R339" s="64"/>
      <c r="S339" s="64"/>
      <c r="T339" s="66"/>
      <c r="U339" s="66"/>
      <c r="V339" s="66"/>
      <c r="W339" s="66"/>
      <c r="X339" s="66"/>
      <c r="Y339" s="66"/>
    </row>
    <row r="340" spans="2:25"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5"/>
      <c r="R340" s="64"/>
      <c r="S340" s="64"/>
      <c r="T340" s="66"/>
      <c r="U340" s="66"/>
      <c r="V340" s="66"/>
      <c r="W340" s="66"/>
      <c r="X340" s="66"/>
      <c r="Y340" s="66"/>
    </row>
    <row r="341" spans="2:25"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5"/>
      <c r="R341" s="64"/>
      <c r="S341" s="64"/>
      <c r="T341" s="66"/>
      <c r="U341" s="66"/>
      <c r="V341" s="66"/>
      <c r="W341" s="66"/>
      <c r="X341" s="66"/>
      <c r="Y341" s="66"/>
    </row>
    <row r="342" spans="2:25"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5"/>
      <c r="R342" s="64"/>
      <c r="S342" s="64"/>
      <c r="T342" s="66"/>
      <c r="U342" s="66"/>
      <c r="V342" s="66"/>
      <c r="W342" s="66"/>
      <c r="X342" s="66"/>
      <c r="Y342" s="66"/>
    </row>
    <row r="343" spans="2:25"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5"/>
      <c r="R343" s="64"/>
      <c r="S343" s="64"/>
      <c r="T343" s="66"/>
      <c r="U343" s="66"/>
      <c r="V343" s="66"/>
      <c r="W343" s="66"/>
      <c r="X343" s="66"/>
      <c r="Y343" s="66"/>
    </row>
    <row r="344" spans="2:25"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5"/>
      <c r="R344" s="64"/>
      <c r="S344" s="64"/>
      <c r="T344" s="66"/>
      <c r="U344" s="66"/>
      <c r="V344" s="66"/>
      <c r="W344" s="66"/>
      <c r="X344" s="66"/>
      <c r="Y344" s="66"/>
    </row>
    <row r="345" spans="2:25"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5"/>
      <c r="R345" s="64"/>
      <c r="S345" s="64"/>
      <c r="T345" s="66"/>
      <c r="U345" s="66"/>
      <c r="V345" s="66"/>
      <c r="W345" s="66"/>
      <c r="X345" s="66"/>
      <c r="Y345" s="66"/>
    </row>
    <row r="346" spans="2:25"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5"/>
      <c r="R346" s="64"/>
      <c r="S346" s="64"/>
      <c r="T346" s="66"/>
      <c r="U346" s="66"/>
      <c r="V346" s="66"/>
      <c r="W346" s="66"/>
      <c r="X346" s="66"/>
      <c r="Y346" s="66"/>
    </row>
    <row r="347" spans="2:25"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5"/>
      <c r="R347" s="64"/>
      <c r="S347" s="64"/>
      <c r="T347" s="66"/>
      <c r="U347" s="66"/>
      <c r="V347" s="66"/>
      <c r="W347" s="66"/>
      <c r="X347" s="66"/>
      <c r="Y347" s="66"/>
    </row>
    <row r="348" spans="2:25"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5"/>
      <c r="R348" s="64"/>
      <c r="S348" s="64"/>
      <c r="T348" s="66"/>
      <c r="U348" s="66"/>
      <c r="V348" s="66"/>
      <c r="W348" s="66"/>
      <c r="X348" s="66"/>
      <c r="Y348" s="66"/>
    </row>
    <row r="349" spans="2:25"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5"/>
      <c r="R349" s="64"/>
      <c r="S349" s="64"/>
      <c r="T349" s="66"/>
      <c r="U349" s="66"/>
      <c r="V349" s="66"/>
      <c r="W349" s="66"/>
      <c r="X349" s="66"/>
      <c r="Y349" s="66"/>
    </row>
    <row r="350" spans="2:25"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5"/>
      <c r="R350" s="64"/>
      <c r="S350" s="64"/>
      <c r="T350" s="66"/>
      <c r="U350" s="66"/>
      <c r="V350" s="66"/>
      <c r="W350" s="66"/>
      <c r="X350" s="66"/>
      <c r="Y350" s="66"/>
    </row>
    <row r="351" spans="2:25"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5"/>
      <c r="R351" s="64"/>
      <c r="S351" s="64"/>
      <c r="T351" s="66"/>
      <c r="U351" s="66"/>
      <c r="V351" s="66"/>
      <c r="W351" s="66"/>
      <c r="X351" s="66"/>
      <c r="Y351" s="66"/>
    </row>
    <row r="352" spans="2:25"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5"/>
      <c r="R352" s="64"/>
      <c r="S352" s="64"/>
      <c r="T352" s="66"/>
      <c r="U352" s="66"/>
      <c r="V352" s="66"/>
      <c r="W352" s="66"/>
      <c r="X352" s="66"/>
      <c r="Y352" s="66"/>
    </row>
    <row r="353" spans="2:25"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5"/>
      <c r="R353" s="64"/>
      <c r="S353" s="64"/>
      <c r="T353" s="66"/>
      <c r="U353" s="66"/>
      <c r="V353" s="66"/>
      <c r="W353" s="66"/>
      <c r="X353" s="66"/>
      <c r="Y353" s="66"/>
    </row>
    <row r="354" spans="2:25"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5"/>
      <c r="R354" s="64"/>
      <c r="S354" s="64"/>
      <c r="T354" s="66"/>
      <c r="U354" s="66"/>
      <c r="V354" s="66"/>
      <c r="W354" s="66"/>
      <c r="X354" s="66"/>
      <c r="Y354" s="66"/>
    </row>
    <row r="355" spans="2:25"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5"/>
      <c r="R355" s="64"/>
      <c r="S355" s="64"/>
      <c r="T355" s="66"/>
      <c r="U355" s="66"/>
      <c r="V355" s="66"/>
      <c r="W355" s="66"/>
      <c r="X355" s="66"/>
      <c r="Y355" s="66"/>
    </row>
    <row r="356" spans="2:25"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5"/>
      <c r="R356" s="64"/>
      <c r="S356" s="64"/>
      <c r="T356" s="66"/>
      <c r="U356" s="66"/>
      <c r="V356" s="66"/>
      <c r="W356" s="66"/>
      <c r="X356" s="66"/>
      <c r="Y356" s="66"/>
    </row>
    <row r="357" spans="2:25"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5"/>
      <c r="R357" s="64"/>
      <c r="S357" s="64"/>
      <c r="T357" s="66"/>
      <c r="U357" s="66"/>
      <c r="V357" s="66"/>
      <c r="W357" s="66"/>
      <c r="X357" s="66"/>
      <c r="Y357" s="66"/>
    </row>
    <row r="358" spans="2:25"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5"/>
      <c r="R358" s="64"/>
      <c r="S358" s="64"/>
      <c r="T358" s="66"/>
      <c r="U358" s="66"/>
      <c r="V358" s="66"/>
      <c r="W358" s="66"/>
      <c r="X358" s="66"/>
      <c r="Y358" s="66"/>
    </row>
    <row r="359" spans="2:25"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5"/>
      <c r="R359" s="64"/>
      <c r="S359" s="64"/>
      <c r="T359" s="66"/>
      <c r="U359" s="66"/>
      <c r="V359" s="66"/>
      <c r="W359" s="66"/>
      <c r="X359" s="66"/>
      <c r="Y359" s="66"/>
    </row>
    <row r="360" spans="2:25"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5"/>
      <c r="R360" s="64"/>
      <c r="S360" s="64"/>
      <c r="T360" s="66"/>
      <c r="U360" s="66"/>
      <c r="V360" s="66"/>
      <c r="W360" s="66"/>
      <c r="X360" s="66"/>
      <c r="Y360" s="66"/>
    </row>
    <row r="361" spans="2:25"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5"/>
      <c r="R361" s="64"/>
      <c r="S361" s="64"/>
      <c r="T361" s="66"/>
      <c r="U361" s="66"/>
      <c r="V361" s="66"/>
      <c r="W361" s="66"/>
      <c r="X361" s="66"/>
      <c r="Y361" s="66"/>
    </row>
    <row r="362" spans="2:25"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5"/>
      <c r="R362" s="64"/>
      <c r="S362" s="64"/>
      <c r="T362" s="66"/>
      <c r="U362" s="66"/>
      <c r="V362" s="66"/>
      <c r="W362" s="66"/>
      <c r="X362" s="66"/>
      <c r="Y362" s="66"/>
    </row>
    <row r="363" spans="2:25"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5"/>
      <c r="R363" s="64"/>
      <c r="S363" s="64"/>
      <c r="T363" s="66"/>
      <c r="U363" s="66"/>
      <c r="V363" s="66"/>
      <c r="W363" s="66"/>
      <c r="X363" s="66"/>
      <c r="Y363" s="66"/>
    </row>
    <row r="364" spans="2:25"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5"/>
      <c r="R364" s="64"/>
      <c r="S364" s="64"/>
      <c r="T364" s="66"/>
      <c r="U364" s="66"/>
      <c r="V364" s="66"/>
      <c r="W364" s="66"/>
      <c r="X364" s="66"/>
      <c r="Y364" s="66"/>
    </row>
    <row r="365" spans="2:25"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5"/>
      <c r="R365" s="64"/>
      <c r="S365" s="64"/>
      <c r="T365" s="66"/>
      <c r="U365" s="66"/>
      <c r="V365" s="66"/>
      <c r="W365" s="66"/>
      <c r="X365" s="66"/>
      <c r="Y365" s="66"/>
    </row>
    <row r="366" spans="2:25"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5"/>
      <c r="R366" s="64"/>
      <c r="S366" s="64"/>
      <c r="T366" s="66"/>
      <c r="U366" s="66"/>
      <c r="V366" s="66"/>
      <c r="W366" s="66"/>
      <c r="X366" s="66"/>
      <c r="Y366" s="66"/>
    </row>
    <row r="367" spans="2:25"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5"/>
      <c r="R367" s="64"/>
      <c r="S367" s="64"/>
      <c r="T367" s="66"/>
      <c r="U367" s="66"/>
      <c r="V367" s="66"/>
      <c r="W367" s="66"/>
      <c r="X367" s="66"/>
      <c r="Y367" s="66"/>
    </row>
    <row r="368" spans="2:25"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5"/>
      <c r="R368" s="64"/>
      <c r="S368" s="64"/>
      <c r="T368" s="66"/>
      <c r="U368" s="66"/>
      <c r="V368" s="66"/>
      <c r="W368" s="66"/>
      <c r="X368" s="66"/>
      <c r="Y368" s="66"/>
    </row>
    <row r="369" spans="2:25"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5"/>
      <c r="R369" s="64"/>
      <c r="S369" s="64"/>
      <c r="T369" s="66"/>
      <c r="U369" s="66"/>
      <c r="V369" s="66"/>
      <c r="W369" s="66"/>
      <c r="X369" s="66"/>
      <c r="Y369" s="66"/>
    </row>
    <row r="370" spans="2:25"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5"/>
      <c r="R370" s="64"/>
      <c r="S370" s="64"/>
      <c r="T370" s="66"/>
      <c r="U370" s="66"/>
      <c r="V370" s="66"/>
      <c r="W370" s="66"/>
      <c r="X370" s="66"/>
      <c r="Y370" s="66"/>
    </row>
    <row r="371" spans="2:25"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5"/>
      <c r="R371" s="64"/>
      <c r="S371" s="64"/>
      <c r="T371" s="66"/>
      <c r="U371" s="66"/>
      <c r="V371" s="66"/>
      <c r="W371" s="66"/>
      <c r="X371" s="66"/>
      <c r="Y371" s="66"/>
    </row>
    <row r="372" spans="2:25"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5"/>
      <c r="R372" s="64"/>
      <c r="S372" s="64"/>
      <c r="T372" s="66"/>
      <c r="U372" s="66"/>
      <c r="V372" s="66"/>
      <c r="W372" s="66"/>
      <c r="X372" s="66"/>
      <c r="Y372" s="66"/>
    </row>
    <row r="373" spans="2:25"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5"/>
      <c r="R373" s="64"/>
      <c r="S373" s="64"/>
      <c r="T373" s="66"/>
      <c r="U373" s="66"/>
      <c r="V373" s="66"/>
      <c r="W373" s="66"/>
      <c r="X373" s="66"/>
      <c r="Y373" s="66"/>
    </row>
    <row r="374" spans="2:25"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5"/>
      <c r="R374" s="64"/>
      <c r="S374" s="64"/>
      <c r="T374" s="66"/>
      <c r="U374" s="66"/>
      <c r="V374" s="66"/>
      <c r="W374" s="66"/>
      <c r="X374" s="66"/>
      <c r="Y374" s="66"/>
    </row>
    <row r="375" spans="2:25"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5"/>
      <c r="R375" s="64"/>
      <c r="S375" s="64"/>
      <c r="T375" s="66"/>
      <c r="U375" s="66"/>
      <c r="V375" s="66"/>
      <c r="W375" s="66"/>
      <c r="X375" s="66"/>
      <c r="Y375" s="66"/>
    </row>
    <row r="376" spans="2:25"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5"/>
      <c r="R376" s="64"/>
      <c r="S376" s="64"/>
      <c r="T376" s="66"/>
      <c r="U376" s="66"/>
      <c r="V376" s="66"/>
      <c r="W376" s="66"/>
      <c r="X376" s="66"/>
      <c r="Y376" s="66"/>
    </row>
    <row r="377" spans="2:25"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5"/>
      <c r="R377" s="64"/>
      <c r="S377" s="64"/>
      <c r="T377" s="66"/>
      <c r="U377" s="66"/>
      <c r="V377" s="66"/>
      <c r="W377" s="66"/>
      <c r="X377" s="66"/>
      <c r="Y377" s="66"/>
    </row>
    <row r="378" spans="2:25"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5"/>
      <c r="R378" s="64"/>
      <c r="S378" s="64"/>
      <c r="T378" s="66"/>
      <c r="U378" s="66"/>
      <c r="V378" s="66"/>
      <c r="W378" s="66"/>
      <c r="X378" s="66"/>
      <c r="Y378" s="66"/>
    </row>
    <row r="379" spans="2:25"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5"/>
      <c r="R379" s="64"/>
      <c r="S379" s="64"/>
      <c r="T379" s="66"/>
      <c r="U379" s="66"/>
      <c r="V379" s="66"/>
      <c r="W379" s="66"/>
      <c r="X379" s="66"/>
      <c r="Y379" s="66"/>
    </row>
    <row r="380" spans="2:25"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5"/>
      <c r="R380" s="64"/>
      <c r="S380" s="64"/>
      <c r="T380" s="66"/>
      <c r="U380" s="66"/>
      <c r="V380" s="66"/>
      <c r="W380" s="66"/>
      <c r="X380" s="66"/>
      <c r="Y380" s="66"/>
    </row>
    <row r="381" spans="2:25"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5"/>
      <c r="R381" s="64"/>
      <c r="S381" s="64"/>
      <c r="T381" s="66"/>
      <c r="U381" s="66"/>
      <c r="V381" s="66"/>
      <c r="W381" s="66"/>
      <c r="X381" s="66"/>
      <c r="Y381" s="66"/>
    </row>
    <row r="382" spans="2:25"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5"/>
      <c r="R382" s="64"/>
      <c r="S382" s="64"/>
      <c r="T382" s="66"/>
      <c r="U382" s="66"/>
      <c r="V382" s="66"/>
      <c r="W382" s="66"/>
      <c r="X382" s="66"/>
      <c r="Y382" s="66"/>
    </row>
    <row r="383" spans="2:25"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5"/>
      <c r="R383" s="64"/>
      <c r="S383" s="64"/>
      <c r="T383" s="66"/>
      <c r="U383" s="66"/>
      <c r="V383" s="66"/>
      <c r="W383" s="66"/>
      <c r="X383" s="66"/>
      <c r="Y383" s="66"/>
    </row>
    <row r="384" spans="2:25"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5"/>
      <c r="R384" s="64"/>
      <c r="S384" s="64"/>
      <c r="T384" s="66"/>
      <c r="U384" s="66"/>
      <c r="V384" s="66"/>
      <c r="W384" s="66"/>
      <c r="X384" s="66"/>
      <c r="Y384" s="66"/>
    </row>
    <row r="385" spans="2:25"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5"/>
      <c r="R385" s="64"/>
      <c r="S385" s="64"/>
      <c r="T385" s="66"/>
      <c r="U385" s="66"/>
      <c r="V385" s="66"/>
      <c r="W385" s="66"/>
      <c r="X385" s="66"/>
      <c r="Y385" s="66"/>
    </row>
    <row r="386" spans="2:25"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5"/>
      <c r="R386" s="64"/>
      <c r="S386" s="64"/>
      <c r="T386" s="66"/>
      <c r="U386" s="66"/>
      <c r="V386" s="66"/>
      <c r="W386" s="66"/>
      <c r="X386" s="66"/>
      <c r="Y386" s="66"/>
    </row>
    <row r="387" spans="2:25"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5"/>
      <c r="R387" s="64"/>
      <c r="S387" s="64"/>
      <c r="T387" s="66"/>
      <c r="U387" s="66"/>
      <c r="V387" s="66"/>
      <c r="W387" s="66"/>
      <c r="X387" s="66"/>
      <c r="Y387" s="66"/>
    </row>
    <row r="388" spans="2:25"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5"/>
      <c r="R388" s="64"/>
      <c r="S388" s="64"/>
      <c r="T388" s="66"/>
      <c r="U388" s="66"/>
      <c r="V388" s="66"/>
      <c r="W388" s="66"/>
      <c r="X388" s="66"/>
      <c r="Y388" s="66"/>
    </row>
    <row r="389" spans="2:25"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5"/>
      <c r="R389" s="64"/>
      <c r="S389" s="64"/>
      <c r="T389" s="66"/>
      <c r="U389" s="66"/>
      <c r="V389" s="66"/>
      <c r="W389" s="66"/>
      <c r="X389" s="66"/>
      <c r="Y389" s="66"/>
    </row>
    <row r="390" spans="2:25"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5"/>
      <c r="R390" s="64"/>
      <c r="S390" s="64"/>
      <c r="T390" s="66"/>
      <c r="U390" s="66"/>
      <c r="V390" s="66"/>
      <c r="W390" s="66"/>
      <c r="X390" s="66"/>
      <c r="Y390" s="66"/>
    </row>
    <row r="391" spans="2:25"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5"/>
      <c r="R391" s="64"/>
      <c r="S391" s="64"/>
      <c r="T391" s="66"/>
      <c r="U391" s="66"/>
      <c r="V391" s="66"/>
      <c r="W391" s="66"/>
      <c r="X391" s="66"/>
      <c r="Y391" s="66"/>
    </row>
    <row r="392" spans="2:25"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5"/>
      <c r="R392" s="64"/>
      <c r="S392" s="64"/>
      <c r="T392" s="66"/>
      <c r="U392" s="66"/>
      <c r="V392" s="66"/>
      <c r="W392" s="66"/>
      <c r="X392" s="66"/>
      <c r="Y392" s="66"/>
    </row>
    <row r="393" spans="2:25"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5"/>
      <c r="R393" s="64"/>
      <c r="S393" s="64"/>
      <c r="T393" s="66"/>
      <c r="U393" s="66"/>
      <c r="V393" s="66"/>
      <c r="W393" s="66"/>
      <c r="X393" s="66"/>
      <c r="Y393" s="66"/>
    </row>
    <row r="394" spans="2:25"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5"/>
      <c r="R394" s="64"/>
      <c r="S394" s="64"/>
      <c r="T394" s="66"/>
      <c r="U394" s="66"/>
      <c r="V394" s="66"/>
      <c r="W394" s="66"/>
      <c r="X394" s="66"/>
      <c r="Y394" s="66"/>
    </row>
    <row r="395" spans="2:25"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5"/>
      <c r="R395" s="64"/>
      <c r="S395" s="64"/>
      <c r="T395" s="66"/>
      <c r="U395" s="66"/>
      <c r="V395" s="66"/>
      <c r="W395" s="66"/>
      <c r="X395" s="66"/>
      <c r="Y395" s="66"/>
    </row>
    <row r="396" spans="2:25"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5"/>
      <c r="R396" s="64"/>
      <c r="S396" s="64"/>
      <c r="T396" s="66"/>
      <c r="U396" s="66"/>
      <c r="V396" s="66"/>
      <c r="W396" s="66"/>
      <c r="X396" s="66"/>
      <c r="Y396" s="66"/>
    </row>
    <row r="397" spans="2:25"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5"/>
      <c r="R397" s="64"/>
      <c r="S397" s="64"/>
      <c r="T397" s="66"/>
      <c r="U397" s="66"/>
      <c r="V397" s="66"/>
      <c r="W397" s="66"/>
      <c r="X397" s="66"/>
      <c r="Y397" s="66"/>
    </row>
    <row r="398" spans="2:25"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5"/>
      <c r="R398" s="64"/>
      <c r="S398" s="64"/>
      <c r="T398" s="66"/>
      <c r="U398" s="66"/>
      <c r="V398" s="66"/>
      <c r="W398" s="66"/>
      <c r="X398" s="66"/>
      <c r="Y398" s="66"/>
    </row>
    <row r="399" spans="2:25"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5"/>
      <c r="R399" s="64"/>
      <c r="S399" s="64"/>
      <c r="T399" s="66"/>
      <c r="U399" s="66"/>
      <c r="V399" s="66"/>
      <c r="W399" s="66"/>
      <c r="X399" s="66"/>
      <c r="Y399" s="66"/>
    </row>
    <row r="400" spans="2:25"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5"/>
      <c r="R400" s="64"/>
      <c r="S400" s="64"/>
      <c r="T400" s="66"/>
      <c r="U400" s="66"/>
      <c r="V400" s="66"/>
      <c r="W400" s="66"/>
      <c r="X400" s="66"/>
      <c r="Y400" s="66"/>
    </row>
    <row r="401" spans="2:25"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5"/>
      <c r="R401" s="64"/>
      <c r="S401" s="64"/>
      <c r="T401" s="66"/>
      <c r="U401" s="66"/>
      <c r="V401" s="66"/>
      <c r="W401" s="66"/>
      <c r="X401" s="66"/>
      <c r="Y401" s="66"/>
    </row>
    <row r="402" spans="2:25"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5"/>
      <c r="R402" s="64"/>
      <c r="S402" s="64"/>
      <c r="T402" s="66"/>
      <c r="U402" s="66"/>
      <c r="V402" s="66"/>
      <c r="W402" s="66"/>
      <c r="X402" s="66"/>
      <c r="Y402" s="66"/>
    </row>
    <row r="403" spans="2:25"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5"/>
      <c r="R403" s="64"/>
      <c r="S403" s="64"/>
      <c r="T403" s="66"/>
      <c r="U403" s="66"/>
      <c r="V403" s="66"/>
      <c r="W403" s="66"/>
      <c r="X403" s="66"/>
      <c r="Y403" s="66"/>
    </row>
    <row r="404" spans="2:25"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5"/>
      <c r="R404" s="64"/>
      <c r="S404" s="64"/>
      <c r="T404" s="66"/>
      <c r="U404" s="66"/>
      <c r="V404" s="66"/>
      <c r="W404" s="66"/>
      <c r="X404" s="66"/>
      <c r="Y404" s="66"/>
    </row>
    <row r="405" spans="2:25"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5"/>
      <c r="R405" s="64"/>
      <c r="S405" s="64"/>
      <c r="T405" s="66"/>
      <c r="U405" s="66"/>
      <c r="V405" s="66"/>
      <c r="W405" s="66"/>
      <c r="X405" s="66"/>
      <c r="Y405" s="66"/>
    </row>
    <row r="406" spans="2:25"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5"/>
      <c r="R406" s="64"/>
      <c r="S406" s="64"/>
      <c r="T406" s="66"/>
      <c r="U406" s="66"/>
      <c r="V406" s="66"/>
      <c r="W406" s="66"/>
      <c r="X406" s="66"/>
      <c r="Y406" s="66"/>
    </row>
    <row r="407" spans="2:25"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5"/>
      <c r="R407" s="64"/>
      <c r="S407" s="64"/>
      <c r="T407" s="66"/>
      <c r="U407" s="66"/>
      <c r="V407" s="66"/>
      <c r="W407" s="66"/>
      <c r="X407" s="66"/>
      <c r="Y407" s="66"/>
    </row>
    <row r="408" spans="2:25"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5"/>
      <c r="R408" s="64"/>
      <c r="S408" s="64"/>
      <c r="T408" s="66"/>
      <c r="U408" s="66"/>
      <c r="V408" s="66"/>
      <c r="W408" s="66"/>
      <c r="X408" s="66"/>
      <c r="Y408" s="66"/>
    </row>
    <row r="409" spans="2:25"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5"/>
      <c r="R409" s="64"/>
      <c r="S409" s="64"/>
      <c r="T409" s="66"/>
      <c r="U409" s="66"/>
      <c r="V409" s="66"/>
      <c r="W409" s="66"/>
      <c r="X409" s="66"/>
      <c r="Y409" s="66"/>
    </row>
    <row r="410" spans="2:25"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5"/>
      <c r="R410" s="64"/>
      <c r="S410" s="64"/>
      <c r="T410" s="66"/>
      <c r="U410" s="66"/>
      <c r="V410" s="66"/>
      <c r="W410" s="66"/>
      <c r="X410" s="66"/>
      <c r="Y410" s="66"/>
    </row>
    <row r="411" spans="2:25"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5"/>
      <c r="R411" s="64"/>
      <c r="S411" s="64"/>
      <c r="T411" s="66"/>
      <c r="U411" s="66"/>
      <c r="V411" s="66"/>
      <c r="W411" s="66"/>
      <c r="X411" s="66"/>
      <c r="Y411" s="66"/>
    </row>
    <row r="412" spans="2:25"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5"/>
      <c r="R412" s="64"/>
      <c r="S412" s="64"/>
      <c r="T412" s="66"/>
      <c r="U412" s="66"/>
      <c r="V412" s="66"/>
      <c r="W412" s="66"/>
      <c r="X412" s="66"/>
      <c r="Y412" s="66"/>
    </row>
    <row r="413" spans="2:25"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5"/>
      <c r="R413" s="64"/>
      <c r="S413" s="64"/>
      <c r="T413" s="66"/>
      <c r="U413" s="66"/>
      <c r="V413" s="66"/>
      <c r="W413" s="66"/>
      <c r="X413" s="66"/>
      <c r="Y413" s="66"/>
    </row>
    <row r="414" spans="2:25"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5"/>
      <c r="R414" s="64"/>
      <c r="S414" s="64"/>
      <c r="T414" s="66"/>
      <c r="U414" s="66"/>
      <c r="V414" s="66"/>
      <c r="W414" s="66"/>
      <c r="X414" s="66"/>
      <c r="Y414" s="66"/>
    </row>
    <row r="415" spans="2:25"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5"/>
      <c r="R415" s="64"/>
      <c r="S415" s="64"/>
      <c r="T415" s="66"/>
      <c r="U415" s="66"/>
      <c r="V415" s="66"/>
      <c r="W415" s="66"/>
      <c r="X415" s="66"/>
      <c r="Y415" s="66"/>
    </row>
    <row r="416" spans="2:25"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5"/>
      <c r="R416" s="64"/>
      <c r="S416" s="64"/>
      <c r="T416" s="66"/>
      <c r="U416" s="66"/>
      <c r="V416" s="66"/>
      <c r="W416" s="66"/>
      <c r="X416" s="66"/>
      <c r="Y416" s="66"/>
    </row>
    <row r="417" spans="2:25"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5"/>
      <c r="R417" s="64"/>
      <c r="S417" s="64"/>
      <c r="T417" s="66"/>
      <c r="U417" s="66"/>
      <c r="V417" s="66"/>
      <c r="W417" s="66"/>
      <c r="X417" s="66"/>
      <c r="Y417" s="66"/>
    </row>
    <row r="418" spans="2:25"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5"/>
      <c r="R418" s="64"/>
      <c r="S418" s="64"/>
      <c r="T418" s="66"/>
      <c r="U418" s="66"/>
      <c r="V418" s="66"/>
      <c r="W418" s="66"/>
      <c r="X418" s="66"/>
      <c r="Y418" s="66"/>
    </row>
    <row r="419" spans="2:25"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5"/>
      <c r="R419" s="64"/>
      <c r="S419" s="64"/>
      <c r="T419" s="66"/>
      <c r="U419" s="66"/>
      <c r="V419" s="66"/>
      <c r="W419" s="66"/>
      <c r="X419" s="66"/>
      <c r="Y419" s="66"/>
    </row>
    <row r="420" spans="2:25"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5"/>
      <c r="R420" s="64"/>
      <c r="S420" s="64"/>
      <c r="T420" s="66"/>
      <c r="U420" s="66"/>
      <c r="V420" s="66"/>
      <c r="W420" s="66"/>
      <c r="X420" s="66"/>
      <c r="Y420" s="66"/>
    </row>
    <row r="421" spans="2:25"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5"/>
      <c r="R421" s="64"/>
      <c r="S421" s="64"/>
      <c r="T421" s="66"/>
      <c r="U421" s="66"/>
      <c r="V421" s="66"/>
      <c r="W421" s="66"/>
      <c r="X421" s="66"/>
      <c r="Y421" s="66"/>
    </row>
    <row r="422" spans="2:25"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5"/>
      <c r="R422" s="64"/>
      <c r="S422" s="64"/>
      <c r="T422" s="66"/>
      <c r="U422" s="66"/>
      <c r="V422" s="66"/>
      <c r="W422" s="66"/>
      <c r="X422" s="66"/>
      <c r="Y422" s="66"/>
    </row>
    <row r="423" spans="2:25"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5"/>
      <c r="R423" s="64"/>
      <c r="S423" s="64"/>
      <c r="T423" s="66"/>
      <c r="U423" s="66"/>
      <c r="V423" s="66"/>
      <c r="W423" s="66"/>
      <c r="X423" s="66"/>
      <c r="Y423" s="66"/>
    </row>
    <row r="424" spans="2:25"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5"/>
      <c r="R424" s="64"/>
      <c r="S424" s="64"/>
      <c r="T424" s="66"/>
      <c r="U424" s="66"/>
      <c r="V424" s="66"/>
      <c r="W424" s="66"/>
      <c r="X424" s="66"/>
      <c r="Y424" s="66"/>
    </row>
    <row r="425" spans="2:25"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5"/>
      <c r="R425" s="64"/>
      <c r="S425" s="64"/>
      <c r="T425" s="66"/>
      <c r="U425" s="66"/>
      <c r="V425" s="66"/>
      <c r="W425" s="66"/>
      <c r="X425" s="66"/>
      <c r="Y425" s="66"/>
    </row>
    <row r="426" spans="2:25"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5"/>
      <c r="R426" s="64"/>
      <c r="S426" s="64"/>
      <c r="T426" s="66"/>
      <c r="U426" s="66"/>
      <c r="V426" s="66"/>
      <c r="W426" s="66"/>
      <c r="X426" s="66"/>
      <c r="Y426" s="66"/>
    </row>
    <row r="427" spans="2:25"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5"/>
      <c r="R427" s="64"/>
      <c r="S427" s="64"/>
      <c r="T427" s="66"/>
      <c r="U427" s="66"/>
      <c r="V427" s="66"/>
      <c r="W427" s="66"/>
      <c r="X427" s="66"/>
      <c r="Y427" s="66"/>
    </row>
    <row r="428" spans="2:25"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5"/>
      <c r="R428" s="64"/>
      <c r="S428" s="64"/>
      <c r="T428" s="66"/>
      <c r="U428" s="66"/>
      <c r="V428" s="66"/>
      <c r="W428" s="66"/>
      <c r="X428" s="66"/>
      <c r="Y428" s="66"/>
    </row>
    <row r="429" spans="2:25"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5"/>
      <c r="R429" s="64"/>
      <c r="S429" s="64"/>
      <c r="T429" s="66"/>
      <c r="U429" s="66"/>
      <c r="V429" s="66"/>
      <c r="W429" s="66"/>
      <c r="X429" s="66"/>
      <c r="Y429" s="66"/>
    </row>
    <row r="430" spans="2:25"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5"/>
      <c r="R430" s="64"/>
      <c r="S430" s="64"/>
      <c r="T430" s="66"/>
      <c r="U430" s="66"/>
      <c r="V430" s="66"/>
      <c r="W430" s="66"/>
      <c r="X430" s="66"/>
      <c r="Y430" s="66"/>
    </row>
    <row r="431" spans="2:25"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5"/>
      <c r="R431" s="64"/>
      <c r="S431" s="64"/>
      <c r="T431" s="66"/>
      <c r="U431" s="66"/>
      <c r="V431" s="66"/>
      <c r="W431" s="66"/>
      <c r="X431" s="66"/>
      <c r="Y431" s="66"/>
    </row>
    <row r="432" spans="2:25"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5"/>
      <c r="R432" s="64"/>
      <c r="S432" s="64"/>
      <c r="T432" s="66"/>
      <c r="U432" s="66"/>
      <c r="V432" s="66"/>
      <c r="W432" s="66"/>
      <c r="X432" s="66"/>
      <c r="Y432" s="66"/>
    </row>
    <row r="433" spans="2:25"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5"/>
      <c r="R433" s="64"/>
      <c r="S433" s="64"/>
      <c r="T433" s="66"/>
      <c r="U433" s="66"/>
      <c r="V433" s="66"/>
      <c r="W433" s="66"/>
      <c r="X433" s="66"/>
      <c r="Y433" s="66"/>
    </row>
    <row r="434" spans="2:25"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5"/>
      <c r="R434" s="64"/>
      <c r="S434" s="64"/>
      <c r="T434" s="66"/>
      <c r="U434" s="66"/>
      <c r="V434" s="66"/>
      <c r="W434" s="66"/>
      <c r="X434" s="66"/>
      <c r="Y434" s="66"/>
    </row>
    <row r="435" spans="2:25"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5"/>
      <c r="R435" s="64"/>
      <c r="S435" s="64"/>
      <c r="T435" s="66"/>
      <c r="U435" s="66"/>
      <c r="V435" s="66"/>
      <c r="W435" s="66"/>
      <c r="X435" s="66"/>
      <c r="Y435" s="66"/>
    </row>
    <row r="436" spans="2:25"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5"/>
      <c r="R436" s="64"/>
      <c r="S436" s="64"/>
      <c r="T436" s="66"/>
      <c r="U436" s="66"/>
      <c r="V436" s="66"/>
      <c r="W436" s="66"/>
      <c r="X436" s="66"/>
      <c r="Y436" s="66"/>
    </row>
    <row r="437" spans="2:25"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5"/>
      <c r="R437" s="64"/>
      <c r="S437" s="64"/>
      <c r="T437" s="66"/>
      <c r="U437" s="66"/>
      <c r="V437" s="66"/>
      <c r="W437" s="66"/>
      <c r="X437" s="66"/>
      <c r="Y437" s="66"/>
    </row>
    <row r="438" spans="2:25"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5"/>
      <c r="R438" s="64"/>
      <c r="S438" s="64"/>
      <c r="T438" s="66"/>
      <c r="U438" s="66"/>
      <c r="V438" s="66"/>
      <c r="W438" s="66"/>
      <c r="X438" s="66"/>
      <c r="Y438" s="66"/>
    </row>
    <row r="439" spans="2:25"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5"/>
      <c r="R439" s="64"/>
      <c r="S439" s="64"/>
      <c r="T439" s="66"/>
      <c r="U439" s="66"/>
      <c r="V439" s="66"/>
      <c r="W439" s="66"/>
      <c r="X439" s="66"/>
      <c r="Y439" s="66"/>
    </row>
    <row r="440" spans="2:25"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5"/>
      <c r="R440" s="64"/>
      <c r="S440" s="64"/>
      <c r="T440" s="66"/>
      <c r="U440" s="66"/>
      <c r="V440" s="66"/>
      <c r="W440" s="66"/>
      <c r="X440" s="66"/>
      <c r="Y440" s="66"/>
    </row>
    <row r="441" spans="2:25"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5"/>
      <c r="R441" s="64"/>
      <c r="S441" s="64"/>
      <c r="T441" s="66"/>
      <c r="U441" s="66"/>
      <c r="V441" s="66"/>
      <c r="W441" s="66"/>
      <c r="X441" s="66"/>
      <c r="Y441" s="66"/>
    </row>
    <row r="442" spans="2:25"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5"/>
      <c r="R442" s="64"/>
      <c r="S442" s="64"/>
      <c r="T442" s="66"/>
      <c r="U442" s="66"/>
      <c r="V442" s="66"/>
      <c r="W442" s="66"/>
      <c r="X442" s="66"/>
      <c r="Y442" s="66"/>
    </row>
    <row r="443" spans="2:25"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5"/>
      <c r="R443" s="64"/>
      <c r="S443" s="64"/>
      <c r="T443" s="66"/>
      <c r="U443" s="66"/>
      <c r="V443" s="66"/>
      <c r="W443" s="66"/>
      <c r="X443" s="66"/>
      <c r="Y443" s="66"/>
    </row>
    <row r="444" spans="2:25"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5"/>
      <c r="R444" s="64"/>
      <c r="S444" s="64"/>
      <c r="T444" s="66"/>
      <c r="U444" s="66"/>
      <c r="V444" s="66"/>
      <c r="W444" s="66"/>
      <c r="X444" s="66"/>
      <c r="Y444" s="66"/>
    </row>
    <row r="445" spans="2:25"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5"/>
      <c r="R445" s="64"/>
      <c r="S445" s="64"/>
      <c r="T445" s="66"/>
      <c r="U445" s="66"/>
      <c r="V445" s="66"/>
      <c r="W445" s="66"/>
      <c r="X445" s="66"/>
      <c r="Y445" s="66"/>
    </row>
    <row r="446" spans="2:25"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5"/>
      <c r="R446" s="64"/>
      <c r="S446" s="64"/>
      <c r="T446" s="66"/>
      <c r="U446" s="66"/>
      <c r="V446" s="66"/>
      <c r="W446" s="66"/>
      <c r="X446" s="66"/>
      <c r="Y446" s="66"/>
    </row>
    <row r="447" spans="2:25"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5"/>
      <c r="R447" s="64"/>
      <c r="S447" s="64"/>
      <c r="T447" s="66"/>
      <c r="U447" s="66"/>
      <c r="V447" s="66"/>
      <c r="W447" s="66"/>
      <c r="X447" s="66"/>
      <c r="Y447" s="66"/>
    </row>
    <row r="448" spans="2:25"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5"/>
      <c r="R448" s="64"/>
      <c r="S448" s="64"/>
      <c r="T448" s="66"/>
      <c r="U448" s="66"/>
      <c r="V448" s="66"/>
      <c r="W448" s="66"/>
      <c r="X448" s="66"/>
      <c r="Y448" s="66"/>
    </row>
    <row r="449" spans="2:25"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5"/>
      <c r="R449" s="64"/>
      <c r="S449" s="64"/>
      <c r="T449" s="66"/>
      <c r="U449" s="66"/>
      <c r="V449" s="66"/>
      <c r="W449" s="66"/>
      <c r="X449" s="66"/>
      <c r="Y449" s="66"/>
    </row>
    <row r="450" spans="2:25"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5"/>
      <c r="R450" s="64"/>
      <c r="S450" s="64"/>
      <c r="T450" s="66"/>
      <c r="U450" s="66"/>
      <c r="V450" s="66"/>
      <c r="W450" s="66"/>
      <c r="X450" s="66"/>
      <c r="Y450" s="66"/>
    </row>
    <row r="451" spans="2:25"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5"/>
      <c r="R451" s="64"/>
      <c r="S451" s="64"/>
      <c r="T451" s="66"/>
      <c r="U451" s="66"/>
      <c r="V451" s="66"/>
      <c r="W451" s="66"/>
      <c r="X451" s="66"/>
      <c r="Y451" s="66"/>
    </row>
    <row r="452" spans="2:25"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5"/>
      <c r="R452" s="64"/>
      <c r="S452" s="64"/>
      <c r="T452" s="66"/>
      <c r="U452" s="66"/>
      <c r="V452" s="66"/>
      <c r="W452" s="66"/>
      <c r="X452" s="66"/>
      <c r="Y452" s="66"/>
    </row>
    <row r="453" spans="2:25"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5"/>
      <c r="R453" s="64"/>
      <c r="S453" s="64"/>
      <c r="T453" s="66"/>
      <c r="U453" s="66"/>
      <c r="V453" s="66"/>
      <c r="W453" s="66"/>
      <c r="X453" s="66"/>
      <c r="Y453" s="66"/>
    </row>
    <row r="454" spans="2:25"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5"/>
      <c r="R454" s="64"/>
      <c r="S454" s="64"/>
      <c r="T454" s="66"/>
      <c r="U454" s="66"/>
      <c r="V454" s="66"/>
      <c r="W454" s="66"/>
      <c r="X454" s="66"/>
      <c r="Y454" s="66"/>
    </row>
    <row r="455" spans="2:25"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5"/>
      <c r="R455" s="64"/>
      <c r="S455" s="64"/>
      <c r="T455" s="66"/>
      <c r="U455" s="66"/>
      <c r="V455" s="66"/>
      <c r="W455" s="66"/>
      <c r="X455" s="66"/>
      <c r="Y455" s="66"/>
    </row>
    <row r="456" spans="2:25"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5"/>
      <c r="R456" s="64"/>
      <c r="S456" s="64"/>
      <c r="T456" s="66"/>
      <c r="U456" s="66"/>
      <c r="V456" s="66"/>
      <c r="W456" s="66"/>
      <c r="X456" s="66"/>
      <c r="Y456" s="66"/>
    </row>
    <row r="457" spans="2:25"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5"/>
      <c r="R457" s="64"/>
      <c r="S457" s="64"/>
      <c r="T457" s="66"/>
      <c r="U457" s="66"/>
      <c r="V457" s="66"/>
      <c r="W457" s="66"/>
      <c r="X457" s="66"/>
      <c r="Y457" s="66"/>
    </row>
    <row r="458" spans="2:25"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5"/>
      <c r="R458" s="64"/>
      <c r="S458" s="64"/>
      <c r="T458" s="66"/>
      <c r="U458" s="66"/>
      <c r="V458" s="66"/>
      <c r="W458" s="66"/>
      <c r="X458" s="66"/>
      <c r="Y458" s="66"/>
    </row>
    <row r="459" spans="2:25"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5"/>
      <c r="R459" s="64"/>
      <c r="S459" s="64"/>
      <c r="T459" s="66"/>
      <c r="U459" s="66"/>
      <c r="V459" s="66"/>
      <c r="W459" s="66"/>
      <c r="X459" s="66"/>
      <c r="Y459" s="66"/>
    </row>
    <row r="460" spans="2:25"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5"/>
      <c r="R460" s="64"/>
      <c r="S460" s="64"/>
      <c r="T460" s="66"/>
      <c r="U460" s="66"/>
      <c r="V460" s="66"/>
      <c r="W460" s="66"/>
      <c r="X460" s="66"/>
      <c r="Y460" s="66"/>
    </row>
    <row r="461" spans="2:25"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5"/>
      <c r="R461" s="64"/>
      <c r="S461" s="64"/>
      <c r="T461" s="66"/>
      <c r="U461" s="66"/>
      <c r="V461" s="66"/>
      <c r="W461" s="66"/>
      <c r="X461" s="66"/>
      <c r="Y461" s="66"/>
    </row>
    <row r="462" spans="2:25"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5"/>
      <c r="R462" s="64"/>
      <c r="S462" s="64"/>
      <c r="T462" s="66"/>
      <c r="U462" s="66"/>
      <c r="V462" s="66"/>
      <c r="W462" s="66"/>
      <c r="X462" s="66"/>
      <c r="Y462" s="66"/>
    </row>
    <row r="463" spans="2:25"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5"/>
      <c r="R463" s="64"/>
      <c r="S463" s="64"/>
      <c r="T463" s="66"/>
      <c r="U463" s="66"/>
      <c r="V463" s="66"/>
      <c r="W463" s="66"/>
      <c r="X463" s="66"/>
      <c r="Y463" s="66"/>
    </row>
    <row r="464" spans="2:25"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5"/>
      <c r="R464" s="64"/>
      <c r="S464" s="64"/>
      <c r="T464" s="66"/>
      <c r="U464" s="66"/>
      <c r="V464" s="66"/>
      <c r="W464" s="66"/>
      <c r="X464" s="66"/>
      <c r="Y464" s="66"/>
    </row>
    <row r="465" spans="2:25"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5"/>
      <c r="R465" s="64"/>
      <c r="S465" s="64"/>
      <c r="T465" s="66"/>
      <c r="U465" s="66"/>
      <c r="V465" s="66"/>
      <c r="W465" s="66"/>
      <c r="X465" s="66"/>
      <c r="Y465" s="66"/>
    </row>
    <row r="466" spans="2:25"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5"/>
      <c r="R466" s="64"/>
      <c r="S466" s="64"/>
      <c r="T466" s="66"/>
      <c r="U466" s="66"/>
      <c r="V466" s="66"/>
      <c r="W466" s="66"/>
      <c r="X466" s="66"/>
      <c r="Y466" s="66"/>
    </row>
    <row r="467" spans="2:25"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5"/>
      <c r="R467" s="64"/>
      <c r="S467" s="64"/>
      <c r="T467" s="66"/>
      <c r="U467" s="66"/>
      <c r="V467" s="66"/>
      <c r="W467" s="66"/>
      <c r="X467" s="66"/>
      <c r="Y467" s="66"/>
    </row>
    <row r="468" spans="2:25"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5"/>
      <c r="R468" s="64"/>
      <c r="S468" s="64"/>
      <c r="T468" s="66"/>
      <c r="U468" s="66"/>
      <c r="V468" s="66"/>
      <c r="W468" s="66"/>
      <c r="X468" s="66"/>
      <c r="Y468" s="66"/>
    </row>
    <row r="469" spans="2:25"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5"/>
      <c r="R469" s="64"/>
      <c r="S469" s="64"/>
      <c r="T469" s="66"/>
      <c r="U469" s="66"/>
      <c r="V469" s="66"/>
      <c r="W469" s="66"/>
      <c r="X469" s="66"/>
      <c r="Y469" s="66"/>
    </row>
    <row r="470" spans="2:25"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5"/>
      <c r="R470" s="64"/>
      <c r="S470" s="64"/>
      <c r="T470" s="66"/>
      <c r="U470" s="66"/>
      <c r="V470" s="66"/>
      <c r="W470" s="66"/>
      <c r="X470" s="66"/>
      <c r="Y470" s="66"/>
    </row>
    <row r="471" spans="2:25"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5"/>
      <c r="R471" s="64"/>
      <c r="S471" s="64"/>
      <c r="T471" s="66"/>
      <c r="U471" s="66"/>
      <c r="V471" s="66"/>
      <c r="W471" s="66"/>
      <c r="X471" s="66"/>
      <c r="Y471" s="66"/>
    </row>
    <row r="472" spans="2:25"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5"/>
      <c r="R472" s="64"/>
      <c r="S472" s="64"/>
      <c r="T472" s="66"/>
      <c r="U472" s="66"/>
      <c r="V472" s="66"/>
      <c r="W472" s="66"/>
      <c r="X472" s="66"/>
      <c r="Y472" s="66"/>
    </row>
    <row r="473" spans="2:25"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5"/>
      <c r="R473" s="64"/>
      <c r="S473" s="64"/>
      <c r="T473" s="66"/>
      <c r="U473" s="66"/>
      <c r="V473" s="66"/>
      <c r="W473" s="66"/>
      <c r="X473" s="66"/>
      <c r="Y473" s="66"/>
    </row>
    <row r="474" spans="2:25"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5"/>
      <c r="R474" s="64"/>
      <c r="S474" s="64"/>
      <c r="T474" s="66"/>
      <c r="U474" s="66"/>
      <c r="V474" s="66"/>
      <c r="W474" s="66"/>
      <c r="X474" s="66"/>
      <c r="Y474" s="66"/>
    </row>
    <row r="475" spans="2:25"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5"/>
      <c r="R475" s="64"/>
      <c r="S475" s="64"/>
      <c r="T475" s="66"/>
      <c r="U475" s="66"/>
      <c r="V475" s="66"/>
      <c r="W475" s="66"/>
      <c r="X475" s="66"/>
      <c r="Y475" s="66"/>
    </row>
    <row r="476" spans="2:25"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5"/>
      <c r="R476" s="64"/>
      <c r="S476" s="64"/>
      <c r="T476" s="66"/>
      <c r="U476" s="66"/>
      <c r="V476" s="66"/>
      <c r="W476" s="66"/>
      <c r="X476" s="66"/>
      <c r="Y476" s="66"/>
    </row>
    <row r="477" spans="2:25"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5"/>
      <c r="R477" s="64"/>
      <c r="S477" s="64"/>
      <c r="T477" s="66"/>
      <c r="U477" s="66"/>
      <c r="V477" s="66"/>
      <c r="W477" s="66"/>
      <c r="X477" s="66"/>
      <c r="Y477" s="66"/>
    </row>
    <row r="478" spans="2:25"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5"/>
      <c r="R478" s="64"/>
      <c r="S478" s="64"/>
      <c r="T478" s="66"/>
      <c r="U478" s="66"/>
      <c r="V478" s="66"/>
      <c r="W478" s="66"/>
      <c r="X478" s="66"/>
      <c r="Y478" s="66"/>
    </row>
    <row r="479" spans="2:25"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5"/>
      <c r="R479" s="64"/>
      <c r="S479" s="64"/>
      <c r="T479" s="66"/>
      <c r="U479" s="66"/>
      <c r="V479" s="66"/>
      <c r="W479" s="66"/>
      <c r="X479" s="66"/>
      <c r="Y479" s="66"/>
    </row>
    <row r="480" spans="2:25"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5"/>
      <c r="R480" s="64"/>
      <c r="S480" s="64"/>
      <c r="T480" s="66"/>
      <c r="U480" s="66"/>
      <c r="V480" s="66"/>
      <c r="W480" s="66"/>
      <c r="X480" s="66"/>
      <c r="Y480" s="66"/>
    </row>
    <row r="481" spans="2:25"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5"/>
      <c r="R481" s="64"/>
      <c r="S481" s="64"/>
      <c r="T481" s="66"/>
      <c r="U481" s="66"/>
      <c r="V481" s="66"/>
      <c r="W481" s="66"/>
      <c r="X481" s="66"/>
      <c r="Y481" s="66"/>
    </row>
    <row r="482" spans="2:25"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5"/>
      <c r="R482" s="64"/>
      <c r="S482" s="64"/>
      <c r="T482" s="66"/>
      <c r="U482" s="66"/>
      <c r="V482" s="66"/>
      <c r="W482" s="66"/>
      <c r="X482" s="66"/>
      <c r="Y482" s="66"/>
    </row>
    <row r="483" spans="2:25"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5"/>
      <c r="R483" s="64"/>
      <c r="S483" s="64"/>
      <c r="T483" s="66"/>
      <c r="U483" s="66"/>
      <c r="V483" s="66"/>
      <c r="W483" s="66"/>
      <c r="X483" s="66"/>
      <c r="Y483" s="66"/>
    </row>
    <row r="484" spans="2:25"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5"/>
      <c r="R484" s="64"/>
      <c r="S484" s="64"/>
      <c r="T484" s="66"/>
      <c r="U484" s="66"/>
      <c r="V484" s="66"/>
      <c r="W484" s="66"/>
      <c r="X484" s="66"/>
      <c r="Y484" s="66"/>
    </row>
    <row r="485" spans="2:25"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5"/>
      <c r="R485" s="64"/>
      <c r="S485" s="64"/>
      <c r="T485" s="66"/>
      <c r="U485" s="66"/>
      <c r="V485" s="66"/>
      <c r="W485" s="66"/>
      <c r="X485" s="66"/>
      <c r="Y485" s="66"/>
    </row>
    <row r="486" spans="2:25"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5"/>
      <c r="R486" s="64"/>
      <c r="S486" s="64"/>
      <c r="T486" s="66"/>
      <c r="U486" s="66"/>
      <c r="V486" s="66"/>
      <c r="W486" s="66"/>
      <c r="X486" s="66"/>
      <c r="Y486" s="66"/>
    </row>
    <row r="487" spans="2:25"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5"/>
      <c r="R487" s="64"/>
      <c r="S487" s="64"/>
      <c r="T487" s="66"/>
      <c r="U487" s="66"/>
      <c r="V487" s="66"/>
      <c r="W487" s="66"/>
      <c r="X487" s="66"/>
      <c r="Y487" s="66"/>
    </row>
    <row r="488" spans="2:25"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5"/>
      <c r="R488" s="64"/>
      <c r="S488" s="64"/>
      <c r="T488" s="66"/>
      <c r="U488" s="66"/>
      <c r="V488" s="66"/>
      <c r="W488" s="66"/>
      <c r="X488" s="66"/>
      <c r="Y488" s="66"/>
    </row>
    <row r="489" spans="2:25"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5"/>
      <c r="R489" s="64"/>
      <c r="S489" s="64"/>
      <c r="T489" s="66"/>
      <c r="U489" s="66"/>
      <c r="V489" s="66"/>
      <c r="W489" s="66"/>
      <c r="X489" s="66"/>
      <c r="Y489" s="66"/>
    </row>
    <row r="490" spans="2:25"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5"/>
      <c r="R490" s="64"/>
      <c r="S490" s="64"/>
      <c r="T490" s="66"/>
      <c r="U490" s="66"/>
      <c r="V490" s="66"/>
      <c r="W490" s="66"/>
      <c r="X490" s="66"/>
      <c r="Y490" s="66"/>
    </row>
    <row r="491" spans="2:25"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5"/>
      <c r="R491" s="64"/>
      <c r="S491" s="64"/>
      <c r="T491" s="66"/>
      <c r="U491" s="66"/>
      <c r="V491" s="66"/>
      <c r="W491" s="66"/>
      <c r="X491" s="66"/>
      <c r="Y491" s="66"/>
    </row>
    <row r="492" spans="2:25"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5"/>
      <c r="R492" s="64"/>
      <c r="S492" s="64"/>
      <c r="T492" s="66"/>
      <c r="U492" s="66"/>
      <c r="V492" s="66"/>
      <c r="W492" s="66"/>
      <c r="X492" s="66"/>
      <c r="Y492" s="66"/>
    </row>
  </sheetData>
  <mergeCells count="20">
    <mergeCell ref="V4:V5"/>
    <mergeCell ref="W4:W5"/>
    <mergeCell ref="X4:X5"/>
    <mergeCell ref="Y4:Y5"/>
    <mergeCell ref="L4:L5"/>
    <mergeCell ref="M4:M5"/>
    <mergeCell ref="N4:N5"/>
    <mergeCell ref="O4:O5"/>
    <mergeCell ref="P4:P5"/>
    <mergeCell ref="Q4:Q5"/>
    <mergeCell ref="R4:R5"/>
    <mergeCell ref="F4:F5"/>
    <mergeCell ref="H4:K4"/>
    <mergeCell ref="S4:S5"/>
    <mergeCell ref="T4:T5"/>
    <mergeCell ref="U4:U5"/>
    <mergeCell ref="B4:B5"/>
    <mergeCell ref="C4:C5"/>
    <mergeCell ref="D4:D5"/>
    <mergeCell ref="E4:E5"/>
  </mergeCells>
  <phoneticPr fontId="4" type="noConversion"/>
  <dataValidations count="8">
    <dataValidation type="list" allowBlank="1" sqref="V6:V35">
      <formula1>"택배,퀵/트럭,택배G,퀵/트럭G,화물G,직접전달,착불/고객배차,온라인파일,복합"</formula1>
    </dataValidation>
    <dataValidation type="list" allowBlank="1" sqref="P6:P35">
      <formula1>"스마트스토어결제,온라인송금,계약체결,홈페이지카드결제,홈페이지온라인송금"</formula1>
    </dataValidation>
    <dataValidation type="list" allowBlank="1" sqref="O6:O35">
      <formula1>"없음,점검,수정,확정,주문,주문수정,주문확정"</formula1>
    </dataValidation>
    <dataValidation type="list" allowBlank="1" sqref="X6:X35">
      <formula1>"발행,불필요,현금영수증 발행,미결"</formula1>
    </dataValidation>
    <dataValidation type="custom" allowBlank="1" showDropDown="1" sqref="B6:B35 T6:U35">
      <formula1>OR(NOT(ISERROR(DATEVALUE(B6))), AND(ISNUMBER(B6), LEFT(CELL("format", B6))="D"))</formula1>
    </dataValidation>
    <dataValidation type="list" allowBlank="1" sqref="N6:N35">
      <formula1>"없음,약식전달,정식발행,수정중"</formula1>
    </dataValidation>
    <dataValidation type="decimal" operator="greaterThanOrEqual" allowBlank="1" showDropDown="1" showInputMessage="1" prompt="번호를 입력하세요. 이상 0" sqref="Q6:Q35">
      <formula1>0</formula1>
    </dataValidation>
    <dataValidation type="decimal" operator="greaterThanOrEqual" allowBlank="1" showDropDown="1" sqref="G6:M35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M88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3" sqref="B3"/>
    </sheetView>
  </sheetViews>
  <sheetFormatPr defaultColWidth="12.5703125" defaultRowHeight="15.75" customHeight="1"/>
  <cols>
    <col min="1" max="1" width="4" customWidth="1"/>
    <col min="2" max="2" width="20.85546875" style="35" customWidth="1"/>
    <col min="3" max="3" width="18.28515625" style="35" customWidth="1"/>
    <col min="4" max="4" width="20" style="35" customWidth="1"/>
    <col min="5" max="5" width="7.42578125" style="35" customWidth="1"/>
    <col min="6" max="6" width="16.7109375" style="35" customWidth="1"/>
    <col min="7" max="10" width="12.5703125" style="35"/>
    <col min="11" max="11" width="11" style="35" customWidth="1"/>
    <col min="12" max="12" width="24.85546875" style="63" customWidth="1"/>
  </cols>
  <sheetData>
    <row r="1" spans="2:13" ht="12.75">
      <c r="B1" s="6"/>
      <c r="C1" s="6"/>
      <c r="D1" s="8"/>
      <c r="E1" s="9"/>
      <c r="F1" s="9"/>
      <c r="G1" s="7"/>
      <c r="H1" s="36"/>
      <c r="I1" s="37"/>
      <c r="J1" s="6"/>
      <c r="K1" s="6"/>
      <c r="L1" s="6"/>
    </row>
    <row r="2" spans="2:13" ht="12.75">
      <c r="B2" s="6"/>
      <c r="C2" s="6"/>
      <c r="D2" s="8"/>
      <c r="E2" s="9"/>
      <c r="F2" s="9"/>
      <c r="G2" s="7"/>
      <c r="H2" s="36"/>
      <c r="I2" s="37"/>
      <c r="J2" s="6"/>
      <c r="K2" s="6"/>
      <c r="L2" s="6"/>
    </row>
    <row r="3" spans="2:13" ht="15.75" customHeight="1">
      <c r="B3" s="11" t="s">
        <v>110</v>
      </c>
      <c r="C3" s="6"/>
      <c r="D3" s="8"/>
      <c r="E3" s="9"/>
      <c r="F3" s="9"/>
      <c r="G3" s="7"/>
      <c r="H3" s="36"/>
      <c r="I3" s="37"/>
      <c r="J3" s="6"/>
      <c r="K3" s="6"/>
      <c r="L3" s="6"/>
    </row>
    <row r="4" spans="2:13" ht="12.75">
      <c r="B4" s="12" t="s">
        <v>108</v>
      </c>
      <c r="C4" s="12" t="s">
        <v>111</v>
      </c>
      <c r="D4" s="14" t="s">
        <v>112</v>
      </c>
      <c r="E4" s="14" t="s">
        <v>12</v>
      </c>
      <c r="F4" s="14" t="s">
        <v>113</v>
      </c>
      <c r="G4" s="13" t="s">
        <v>114</v>
      </c>
      <c r="H4" s="38" t="s">
        <v>115</v>
      </c>
      <c r="I4" s="16" t="s">
        <v>116</v>
      </c>
      <c r="J4" s="16" t="s">
        <v>117</v>
      </c>
      <c r="K4" s="16" t="s">
        <v>118</v>
      </c>
      <c r="L4" s="16" t="s">
        <v>109</v>
      </c>
    </row>
    <row r="5" spans="2:13" ht="15.75" customHeight="1">
      <c r="B5" s="11" t="s">
        <v>119</v>
      </c>
      <c r="C5" s="6"/>
      <c r="D5" s="8"/>
      <c r="E5" s="9"/>
      <c r="F5" s="9"/>
      <c r="G5" s="7"/>
      <c r="H5" s="36"/>
      <c r="I5" s="37"/>
      <c r="J5" s="6"/>
      <c r="K5" s="6"/>
      <c r="L5" s="6"/>
    </row>
    <row r="6" spans="2:13" ht="12.75">
      <c r="B6" s="12" t="s">
        <v>108</v>
      </c>
      <c r="C6" s="12" t="s">
        <v>111</v>
      </c>
      <c r="D6" s="14" t="s">
        <v>112</v>
      </c>
      <c r="E6" s="14" t="s">
        <v>12</v>
      </c>
      <c r="F6" s="14" t="s">
        <v>113</v>
      </c>
      <c r="G6" s="13" t="s">
        <v>114</v>
      </c>
      <c r="H6" s="38" t="s">
        <v>115</v>
      </c>
      <c r="I6" s="16" t="s">
        <v>116</v>
      </c>
      <c r="J6" s="16" t="s">
        <v>120</v>
      </c>
      <c r="K6" s="16" t="s">
        <v>118</v>
      </c>
      <c r="L6" s="16" t="s">
        <v>109</v>
      </c>
    </row>
    <row r="7" spans="2:13" ht="12.75">
      <c r="B7" s="26" t="s">
        <v>121</v>
      </c>
      <c r="C7" s="39" t="s">
        <v>205</v>
      </c>
      <c r="D7" s="40">
        <v>488400</v>
      </c>
      <c r="E7" s="41" t="b">
        <v>1</v>
      </c>
      <c r="F7" s="41" t="s">
        <v>123</v>
      </c>
      <c r="G7" s="32">
        <v>45587</v>
      </c>
      <c r="H7" s="42">
        <v>110</v>
      </c>
      <c r="I7" s="32">
        <v>46177</v>
      </c>
      <c r="J7" s="43">
        <v>0</v>
      </c>
      <c r="K7" s="39" t="s">
        <v>206</v>
      </c>
      <c r="L7" s="44"/>
      <c r="M7" s="5"/>
    </row>
    <row r="8" spans="2:13" ht="12.75">
      <c r="B8" s="26" t="s">
        <v>122</v>
      </c>
      <c r="C8" s="39" t="s">
        <v>205</v>
      </c>
      <c r="D8" s="45"/>
      <c r="E8" s="41" t="b">
        <v>1</v>
      </c>
      <c r="F8" s="41" t="s">
        <v>123</v>
      </c>
      <c r="G8" s="32">
        <v>45587</v>
      </c>
      <c r="H8" s="42">
        <v>110</v>
      </c>
      <c r="I8" s="32">
        <v>46177</v>
      </c>
      <c r="J8" s="43">
        <v>0</v>
      </c>
      <c r="K8" s="39" t="s">
        <v>206</v>
      </c>
      <c r="L8" s="44"/>
      <c r="M8" s="5"/>
    </row>
    <row r="9" spans="2:13" ht="12.75">
      <c r="B9" s="46" t="s">
        <v>207</v>
      </c>
      <c r="C9" s="39" t="s">
        <v>205</v>
      </c>
      <c r="D9" s="41">
        <v>500040</v>
      </c>
      <c r="E9" s="41" t="b">
        <v>1</v>
      </c>
      <c r="F9" s="41" t="s">
        <v>123</v>
      </c>
      <c r="G9" s="32">
        <v>46118</v>
      </c>
      <c r="H9" s="47">
        <v>110</v>
      </c>
      <c r="I9" s="32">
        <v>46206</v>
      </c>
      <c r="J9" s="43">
        <v>45</v>
      </c>
      <c r="K9" s="39" t="s">
        <v>206</v>
      </c>
      <c r="L9" s="48"/>
    </row>
    <row r="10" spans="2:13" ht="12.75">
      <c r="B10" s="39"/>
      <c r="C10" s="39"/>
      <c r="D10" s="41"/>
      <c r="E10" s="41"/>
      <c r="F10" s="41"/>
      <c r="G10" s="32"/>
      <c r="H10" s="47"/>
      <c r="I10" s="49"/>
      <c r="J10" s="43"/>
      <c r="K10" s="27"/>
      <c r="L10" s="48"/>
    </row>
    <row r="11" spans="2:13" ht="12.75">
      <c r="B11" s="39" t="s">
        <v>208</v>
      </c>
      <c r="C11" s="39" t="s">
        <v>209</v>
      </c>
      <c r="D11" s="41">
        <v>550000</v>
      </c>
      <c r="E11" s="41" t="b">
        <v>1</v>
      </c>
      <c r="F11" s="41" t="s">
        <v>123</v>
      </c>
      <c r="G11" s="32">
        <v>46177</v>
      </c>
      <c r="H11" s="47">
        <v>50</v>
      </c>
      <c r="I11" s="32">
        <v>46177</v>
      </c>
      <c r="J11" s="43">
        <v>48</v>
      </c>
      <c r="K11" s="27" t="s">
        <v>105</v>
      </c>
      <c r="L11" s="48"/>
    </row>
    <row r="12" spans="2:13" ht="12.75">
      <c r="B12" s="39"/>
      <c r="C12" s="39"/>
      <c r="D12" s="41"/>
      <c r="E12" s="41"/>
      <c r="F12" s="41"/>
      <c r="G12" s="32"/>
      <c r="H12" s="47"/>
      <c r="I12" s="49"/>
      <c r="J12" s="43"/>
      <c r="K12" s="27"/>
      <c r="L12" s="48"/>
    </row>
    <row r="13" spans="2:13" ht="12.75">
      <c r="B13" s="39" t="s">
        <v>210</v>
      </c>
      <c r="C13" s="39" t="s">
        <v>211</v>
      </c>
      <c r="D13" s="41">
        <v>1144000</v>
      </c>
      <c r="E13" s="41" t="b">
        <v>1</v>
      </c>
      <c r="F13" s="41" t="s">
        <v>123</v>
      </c>
      <c r="G13" s="32">
        <v>45614</v>
      </c>
      <c r="H13" s="42">
        <v>6000</v>
      </c>
      <c r="I13" s="32">
        <v>46177</v>
      </c>
      <c r="J13" s="43">
        <v>500</v>
      </c>
      <c r="K13" s="27" t="s">
        <v>105</v>
      </c>
      <c r="L13" s="44"/>
    </row>
    <row r="14" spans="2:13" ht="12.75">
      <c r="B14" s="39" t="s">
        <v>212</v>
      </c>
      <c r="C14" s="39" t="s">
        <v>211</v>
      </c>
      <c r="D14" s="41">
        <v>352000</v>
      </c>
      <c r="E14" s="41" t="b">
        <v>1</v>
      </c>
      <c r="F14" s="41" t="s">
        <v>123</v>
      </c>
      <c r="G14" s="32">
        <v>45903</v>
      </c>
      <c r="H14" s="47">
        <v>2000</v>
      </c>
      <c r="I14" s="32"/>
      <c r="J14" s="43"/>
      <c r="K14" s="27"/>
      <c r="L14" s="48"/>
    </row>
    <row r="15" spans="2:13" ht="12.75">
      <c r="B15" s="39" t="s">
        <v>210</v>
      </c>
      <c r="C15" s="39" t="s">
        <v>211</v>
      </c>
      <c r="D15" s="41">
        <v>198000</v>
      </c>
      <c r="E15" s="41" t="b">
        <v>1</v>
      </c>
      <c r="F15" s="41" t="s">
        <v>123</v>
      </c>
      <c r="G15" s="32">
        <v>46156</v>
      </c>
      <c r="H15" s="47">
        <v>2000</v>
      </c>
      <c r="I15" s="32"/>
      <c r="J15" s="43"/>
      <c r="K15" s="27"/>
      <c r="L15" s="48"/>
    </row>
    <row r="16" spans="2:13" ht="12.75">
      <c r="B16" s="39" t="s">
        <v>213</v>
      </c>
      <c r="C16" s="39" t="s">
        <v>211</v>
      </c>
      <c r="D16" s="41"/>
      <c r="E16" s="41" t="b">
        <v>0</v>
      </c>
      <c r="F16" s="41"/>
      <c r="G16" s="32">
        <v>46206</v>
      </c>
      <c r="H16" s="47">
        <v>2000</v>
      </c>
      <c r="I16" s="32"/>
      <c r="J16" s="43"/>
      <c r="K16" s="27"/>
      <c r="L16" s="48"/>
    </row>
    <row r="17" spans="2:12" ht="12.75">
      <c r="B17" s="39"/>
      <c r="C17" s="39"/>
      <c r="D17" s="41"/>
      <c r="E17" s="41"/>
      <c r="F17" s="41"/>
      <c r="G17" s="32"/>
      <c r="H17" s="47"/>
      <c r="I17" s="49"/>
      <c r="J17" s="50"/>
      <c r="K17" s="27"/>
      <c r="L17" s="48"/>
    </row>
    <row r="18" spans="2:12" ht="12.75">
      <c r="B18" s="51"/>
      <c r="C18" s="51"/>
      <c r="D18" s="52"/>
      <c r="E18" s="52"/>
      <c r="F18" s="52"/>
      <c r="G18" s="7"/>
      <c r="H18" s="53"/>
      <c r="I18" s="54"/>
      <c r="J18" s="55"/>
      <c r="K18" s="6"/>
      <c r="L18" s="51"/>
    </row>
    <row r="19" spans="2:12" ht="15.75" customHeight="1">
      <c r="B19" s="11" t="s">
        <v>124</v>
      </c>
      <c r="C19" s="6"/>
      <c r="D19" s="8"/>
      <c r="E19" s="9"/>
      <c r="F19" s="9"/>
      <c r="G19" s="7"/>
      <c r="H19" s="36"/>
      <c r="I19" s="37"/>
      <c r="J19" s="6"/>
      <c r="K19" s="6"/>
      <c r="L19" s="6"/>
    </row>
    <row r="20" spans="2:12" ht="12.75">
      <c r="B20" s="12" t="s">
        <v>108</v>
      </c>
      <c r="C20" s="12" t="s">
        <v>111</v>
      </c>
      <c r="D20" s="14" t="s">
        <v>112</v>
      </c>
      <c r="E20" s="14" t="s">
        <v>12</v>
      </c>
      <c r="F20" s="14" t="s">
        <v>113</v>
      </c>
      <c r="G20" s="13" t="s">
        <v>114</v>
      </c>
      <c r="H20" s="38" t="s">
        <v>125</v>
      </c>
      <c r="I20" s="16" t="s">
        <v>116</v>
      </c>
      <c r="J20" s="16" t="s">
        <v>126</v>
      </c>
      <c r="K20" s="16" t="s">
        <v>118</v>
      </c>
      <c r="L20" s="16" t="s">
        <v>109</v>
      </c>
    </row>
    <row r="21" spans="2:12" ht="12.75">
      <c r="B21" s="39" t="s">
        <v>127</v>
      </c>
      <c r="C21" s="39" t="s">
        <v>128</v>
      </c>
      <c r="D21" s="41">
        <v>55000</v>
      </c>
      <c r="E21" s="41" t="b">
        <v>1</v>
      </c>
      <c r="F21" s="41" t="s">
        <v>123</v>
      </c>
      <c r="G21" s="32">
        <v>45524</v>
      </c>
      <c r="H21" s="42">
        <v>20</v>
      </c>
      <c r="I21" s="32">
        <v>45571</v>
      </c>
      <c r="J21" s="56">
        <v>10</v>
      </c>
      <c r="K21" s="27" t="s">
        <v>214</v>
      </c>
      <c r="L21" s="44"/>
    </row>
    <row r="22" spans="2:12" ht="12.75">
      <c r="B22" s="39" t="s">
        <v>129</v>
      </c>
      <c r="C22" s="39" t="s">
        <v>128</v>
      </c>
      <c r="D22" s="41">
        <v>53000</v>
      </c>
      <c r="E22" s="41" t="b">
        <v>1</v>
      </c>
      <c r="F22" s="41" t="s">
        <v>123</v>
      </c>
      <c r="G22" s="32">
        <v>45524</v>
      </c>
      <c r="H22" s="42">
        <v>30</v>
      </c>
      <c r="I22" s="32">
        <v>45571</v>
      </c>
      <c r="J22" s="56">
        <v>15</v>
      </c>
      <c r="K22" s="27" t="s">
        <v>214</v>
      </c>
      <c r="L22" s="44"/>
    </row>
    <row r="23" spans="2:12" ht="12.75">
      <c r="B23" s="39" t="s">
        <v>130</v>
      </c>
      <c r="C23" s="39" t="s">
        <v>128</v>
      </c>
      <c r="D23" s="41">
        <v>44000</v>
      </c>
      <c r="E23" s="41" t="b">
        <v>1</v>
      </c>
      <c r="F23" s="41" t="s">
        <v>123</v>
      </c>
      <c r="G23" s="32">
        <v>45524</v>
      </c>
      <c r="H23" s="42">
        <v>20</v>
      </c>
      <c r="I23" s="32">
        <v>45571</v>
      </c>
      <c r="J23" s="56">
        <v>10</v>
      </c>
      <c r="K23" s="27" t="s">
        <v>214</v>
      </c>
      <c r="L23" s="44"/>
    </row>
    <row r="24" spans="2:12" ht="12.75">
      <c r="B24" s="39" t="s">
        <v>131</v>
      </c>
      <c r="C24" s="39" t="s">
        <v>128</v>
      </c>
      <c r="D24" s="41">
        <v>33000</v>
      </c>
      <c r="E24" s="41" t="b">
        <v>1</v>
      </c>
      <c r="F24" s="41" t="s">
        <v>123</v>
      </c>
      <c r="G24" s="32">
        <v>45524</v>
      </c>
      <c r="H24" s="42">
        <v>20</v>
      </c>
      <c r="I24" s="32">
        <v>45571</v>
      </c>
      <c r="J24" s="56">
        <v>10</v>
      </c>
      <c r="K24" s="27" t="s">
        <v>214</v>
      </c>
      <c r="L24" s="44"/>
    </row>
    <row r="25" spans="2:12" ht="12.75">
      <c r="B25" s="39" t="s">
        <v>132</v>
      </c>
      <c r="C25" s="39" t="s">
        <v>215</v>
      </c>
      <c r="D25" s="41">
        <v>12000</v>
      </c>
      <c r="E25" s="41" t="b">
        <v>1</v>
      </c>
      <c r="F25" s="41" t="s">
        <v>133</v>
      </c>
      <c r="G25" s="32">
        <v>45524</v>
      </c>
      <c r="H25" s="42">
        <v>6</v>
      </c>
      <c r="I25" s="32">
        <v>45571</v>
      </c>
      <c r="J25" s="56">
        <v>3</v>
      </c>
      <c r="K25" s="27" t="s">
        <v>214</v>
      </c>
      <c r="L25" s="44"/>
    </row>
    <row r="26" spans="2:12" ht="12.75">
      <c r="B26" s="39" t="s">
        <v>134</v>
      </c>
      <c r="C26" s="39" t="s">
        <v>216</v>
      </c>
      <c r="D26" s="41">
        <v>220000</v>
      </c>
      <c r="E26" s="41" t="b">
        <v>1</v>
      </c>
      <c r="F26" s="41" t="s">
        <v>123</v>
      </c>
      <c r="G26" s="32">
        <v>45610</v>
      </c>
      <c r="H26" s="42">
        <v>5000</v>
      </c>
      <c r="I26" s="57">
        <v>45610</v>
      </c>
      <c r="J26" s="43">
        <v>1000</v>
      </c>
      <c r="K26" s="27" t="s">
        <v>105</v>
      </c>
      <c r="L26" s="44"/>
    </row>
    <row r="27" spans="2:12" ht="12.75">
      <c r="B27" s="39" t="s">
        <v>135</v>
      </c>
      <c r="C27" s="39" t="s">
        <v>217</v>
      </c>
      <c r="D27" s="41">
        <v>88000</v>
      </c>
      <c r="E27" s="41" t="b">
        <v>1</v>
      </c>
      <c r="F27" s="41" t="s">
        <v>123</v>
      </c>
      <c r="G27" s="32">
        <v>46098</v>
      </c>
      <c r="H27" s="42">
        <v>4</v>
      </c>
      <c r="I27" s="32">
        <v>46206</v>
      </c>
      <c r="J27" s="43">
        <v>2</v>
      </c>
      <c r="K27" s="27" t="s">
        <v>105</v>
      </c>
      <c r="L27" s="44"/>
    </row>
    <row r="28" spans="2:12" ht="12.75">
      <c r="B28" s="39"/>
      <c r="C28" s="39"/>
      <c r="D28" s="41"/>
      <c r="E28" s="41"/>
      <c r="F28" s="41"/>
      <c r="G28" s="32"/>
      <c r="H28" s="47"/>
      <c r="I28" s="49"/>
      <c r="J28" s="50"/>
      <c r="K28" s="27"/>
      <c r="L28" s="48"/>
    </row>
    <row r="29" spans="2:12" ht="12.75">
      <c r="B29" s="6"/>
      <c r="C29" s="6"/>
      <c r="D29" s="8"/>
      <c r="E29" s="9"/>
      <c r="F29" s="9"/>
      <c r="G29" s="7"/>
      <c r="H29" s="36"/>
      <c r="I29" s="37"/>
      <c r="J29" s="6"/>
      <c r="K29" s="6"/>
      <c r="L29" s="6"/>
    </row>
    <row r="30" spans="2:12" ht="12.75">
      <c r="B30" s="58" t="s">
        <v>218</v>
      </c>
      <c r="C30" s="6"/>
      <c r="D30" s="8"/>
      <c r="E30" s="9"/>
      <c r="F30" s="9"/>
      <c r="G30" s="7"/>
      <c r="H30" s="36"/>
      <c r="I30" s="37"/>
      <c r="J30" s="6"/>
      <c r="K30" s="6"/>
      <c r="L30" s="6"/>
    </row>
    <row r="31" spans="2:12" ht="12.75">
      <c r="B31" s="12" t="s">
        <v>136</v>
      </c>
      <c r="C31" s="12" t="s">
        <v>137</v>
      </c>
      <c r="D31" s="12" t="s">
        <v>138</v>
      </c>
      <c r="E31" s="9"/>
      <c r="F31" s="9"/>
      <c r="G31" s="7"/>
      <c r="H31" s="36"/>
      <c r="I31" s="37"/>
      <c r="J31" s="6"/>
      <c r="K31" s="6"/>
      <c r="L31" s="6"/>
    </row>
    <row r="32" spans="2:12" ht="12.75">
      <c r="B32" s="26" t="s">
        <v>139</v>
      </c>
      <c r="C32" s="32">
        <v>46118</v>
      </c>
      <c r="D32" s="59" t="s">
        <v>219</v>
      </c>
      <c r="E32" s="9"/>
      <c r="F32" s="9"/>
      <c r="G32" s="7"/>
      <c r="H32" s="36"/>
      <c r="I32" s="37"/>
      <c r="J32" s="6"/>
      <c r="K32" s="6"/>
      <c r="L32" s="6"/>
    </row>
    <row r="33" spans="2:12" ht="12.75">
      <c r="B33" s="26" t="s">
        <v>140</v>
      </c>
      <c r="C33" s="32">
        <v>46119</v>
      </c>
      <c r="D33" s="59" t="s">
        <v>141</v>
      </c>
      <c r="E33" s="9"/>
      <c r="F33" s="9"/>
      <c r="G33" s="7"/>
      <c r="H33" s="36"/>
      <c r="I33" s="37"/>
      <c r="J33" s="6"/>
      <c r="K33" s="6"/>
      <c r="L33" s="6"/>
    </row>
    <row r="34" spans="2:12" ht="25.5">
      <c r="B34" s="60" t="s">
        <v>142</v>
      </c>
      <c r="C34" s="61">
        <v>46163</v>
      </c>
      <c r="D34" s="62" t="s">
        <v>220</v>
      </c>
      <c r="E34" s="9"/>
      <c r="F34" s="9"/>
      <c r="G34" s="7"/>
      <c r="H34" s="36"/>
      <c r="I34" s="37"/>
      <c r="J34" s="6"/>
      <c r="K34" s="6"/>
      <c r="L34" s="6"/>
    </row>
    <row r="35" spans="2:12" ht="12.75">
      <c r="B35" s="26" t="s">
        <v>143</v>
      </c>
      <c r="C35" s="61">
        <v>46188</v>
      </c>
      <c r="D35" s="59" t="s">
        <v>221</v>
      </c>
      <c r="E35" s="9"/>
      <c r="F35" s="9"/>
      <c r="G35" s="7"/>
      <c r="H35" s="36"/>
      <c r="I35" s="37"/>
      <c r="J35" s="6"/>
      <c r="K35" s="6"/>
      <c r="L35" s="6"/>
    </row>
    <row r="36" spans="2:12" ht="12.75">
      <c r="B36" s="6"/>
      <c r="C36" s="6"/>
      <c r="D36" s="8"/>
      <c r="E36" s="9"/>
      <c r="F36" s="9"/>
      <c r="G36" s="7"/>
      <c r="H36" s="36"/>
      <c r="I36" s="37"/>
      <c r="J36" s="6"/>
      <c r="K36" s="6"/>
      <c r="L36" s="6"/>
    </row>
    <row r="37" spans="2:12" ht="12.75">
      <c r="B37" s="6"/>
      <c r="C37" s="6"/>
      <c r="D37" s="8"/>
      <c r="E37" s="9"/>
      <c r="F37" s="9"/>
      <c r="G37" s="7"/>
      <c r="H37" s="36"/>
      <c r="I37" s="37"/>
      <c r="J37" s="6"/>
      <c r="K37" s="6"/>
      <c r="L37" s="6"/>
    </row>
    <row r="38" spans="2:12" ht="12.75">
      <c r="B38" s="6"/>
      <c r="C38" s="6"/>
      <c r="D38" s="8"/>
      <c r="E38" s="9"/>
      <c r="F38" s="9"/>
      <c r="G38" s="7"/>
      <c r="H38" s="36"/>
      <c r="I38" s="37"/>
      <c r="J38" s="6"/>
      <c r="K38" s="6"/>
      <c r="L38" s="6"/>
    </row>
    <row r="39" spans="2:12" ht="12.75">
      <c r="B39" s="6"/>
      <c r="C39" s="6"/>
      <c r="D39" s="8"/>
      <c r="E39" s="9"/>
      <c r="F39" s="9"/>
      <c r="G39" s="7"/>
      <c r="H39" s="36"/>
      <c r="I39" s="37"/>
      <c r="J39" s="6"/>
      <c r="K39" s="6"/>
      <c r="L39" s="6"/>
    </row>
    <row r="40" spans="2:12" ht="12.75">
      <c r="B40" s="6"/>
      <c r="C40" s="6"/>
      <c r="D40" s="8"/>
      <c r="E40" s="9"/>
      <c r="F40" s="9"/>
      <c r="G40" s="7"/>
      <c r="H40" s="36"/>
      <c r="I40" s="37"/>
      <c r="J40" s="6"/>
      <c r="K40" s="6"/>
      <c r="L40" s="6"/>
    </row>
    <row r="41" spans="2:12" ht="12.75">
      <c r="B41" s="6"/>
      <c r="C41" s="6"/>
      <c r="D41" s="8"/>
      <c r="E41" s="9"/>
      <c r="F41" s="9"/>
      <c r="G41" s="7"/>
      <c r="H41" s="36"/>
      <c r="I41" s="37"/>
      <c r="J41" s="6"/>
      <c r="K41" s="6"/>
      <c r="L41" s="6"/>
    </row>
    <row r="42" spans="2:12" ht="12.75">
      <c r="B42" s="6"/>
      <c r="C42" s="6"/>
      <c r="D42" s="8"/>
      <c r="E42" s="9"/>
      <c r="F42" s="9"/>
      <c r="G42" s="7"/>
      <c r="H42" s="36"/>
      <c r="I42" s="37"/>
      <c r="J42" s="6"/>
      <c r="K42" s="6"/>
      <c r="L42" s="6"/>
    </row>
    <row r="43" spans="2:12" ht="12.75">
      <c r="B43" s="6"/>
      <c r="C43" s="6"/>
      <c r="D43" s="8"/>
      <c r="E43" s="9"/>
      <c r="F43" s="9"/>
      <c r="G43" s="7"/>
      <c r="H43" s="36"/>
      <c r="I43" s="37"/>
      <c r="J43" s="6"/>
      <c r="K43" s="6"/>
      <c r="L43" s="6"/>
    </row>
    <row r="44" spans="2:12" ht="12.75">
      <c r="B44" s="6"/>
      <c r="C44" s="6"/>
      <c r="D44" s="8"/>
      <c r="E44" s="9"/>
      <c r="F44" s="9"/>
      <c r="G44" s="7"/>
      <c r="H44" s="36"/>
      <c r="I44" s="37"/>
      <c r="J44" s="6"/>
      <c r="K44" s="6"/>
      <c r="L44" s="6"/>
    </row>
    <row r="45" spans="2:12" ht="12.75">
      <c r="B45" s="6"/>
      <c r="C45" s="6"/>
      <c r="D45" s="8"/>
      <c r="E45" s="9"/>
      <c r="F45" s="9"/>
      <c r="G45" s="7"/>
      <c r="H45" s="36"/>
      <c r="I45" s="37"/>
      <c r="J45" s="6"/>
      <c r="K45" s="6"/>
      <c r="L45" s="6"/>
    </row>
    <row r="46" spans="2:12" ht="12.75">
      <c r="B46" s="6"/>
      <c r="C46" s="6"/>
      <c r="D46" s="8"/>
      <c r="E46" s="9"/>
      <c r="F46" s="9"/>
      <c r="G46" s="7"/>
      <c r="H46" s="36"/>
      <c r="I46" s="37"/>
      <c r="J46" s="6"/>
      <c r="K46" s="6"/>
      <c r="L46" s="6"/>
    </row>
    <row r="47" spans="2:12" ht="12.75">
      <c r="B47" s="6"/>
      <c r="C47" s="6"/>
      <c r="D47" s="8"/>
      <c r="E47" s="9"/>
      <c r="F47" s="9"/>
      <c r="G47" s="7"/>
      <c r="H47" s="36"/>
      <c r="I47" s="37"/>
      <c r="J47" s="6"/>
      <c r="K47" s="6"/>
      <c r="L47" s="6"/>
    </row>
    <row r="48" spans="2:12" ht="12.75">
      <c r="B48" s="6"/>
      <c r="C48" s="6"/>
      <c r="D48" s="8"/>
      <c r="E48" s="9"/>
      <c r="F48" s="9"/>
      <c r="G48" s="7"/>
      <c r="H48" s="36"/>
      <c r="I48" s="37"/>
      <c r="J48" s="6"/>
      <c r="K48" s="6"/>
      <c r="L48" s="6"/>
    </row>
    <row r="49" spans="2:12" ht="12.75">
      <c r="B49" s="6"/>
      <c r="C49" s="6"/>
      <c r="D49" s="8"/>
      <c r="E49" s="9"/>
      <c r="F49" s="9"/>
      <c r="G49" s="7"/>
      <c r="H49" s="36"/>
      <c r="I49" s="37"/>
      <c r="J49" s="6"/>
      <c r="K49" s="6"/>
      <c r="L49" s="6"/>
    </row>
    <row r="50" spans="2:12" ht="12.75">
      <c r="B50" s="6"/>
      <c r="C50" s="6"/>
      <c r="D50" s="8"/>
      <c r="E50" s="9"/>
      <c r="F50" s="9"/>
      <c r="G50" s="7"/>
      <c r="H50" s="36"/>
      <c r="I50" s="37"/>
      <c r="J50" s="6"/>
      <c r="K50" s="6"/>
      <c r="L50" s="6"/>
    </row>
    <row r="51" spans="2:12" ht="12.75">
      <c r="B51" s="6"/>
      <c r="C51" s="6"/>
      <c r="D51" s="8"/>
      <c r="E51" s="9"/>
      <c r="F51" s="9"/>
      <c r="G51" s="7"/>
      <c r="H51" s="36"/>
      <c r="I51" s="37"/>
      <c r="J51" s="6"/>
      <c r="K51" s="6"/>
      <c r="L51" s="6"/>
    </row>
    <row r="52" spans="2:12" ht="12.75">
      <c r="B52" s="6"/>
      <c r="C52" s="6"/>
      <c r="D52" s="8"/>
      <c r="E52" s="9"/>
      <c r="F52" s="9"/>
      <c r="G52" s="7"/>
      <c r="H52" s="36"/>
      <c r="I52" s="37"/>
      <c r="J52" s="6"/>
      <c r="K52" s="6"/>
      <c r="L52" s="6"/>
    </row>
    <row r="53" spans="2:12" ht="12.75">
      <c r="B53" s="6"/>
      <c r="C53" s="6"/>
      <c r="D53" s="8"/>
      <c r="E53" s="9"/>
      <c r="F53" s="9"/>
      <c r="G53" s="7"/>
      <c r="H53" s="36"/>
      <c r="I53" s="37"/>
      <c r="J53" s="6"/>
      <c r="K53" s="6"/>
      <c r="L53" s="6"/>
    </row>
    <row r="54" spans="2:12" ht="12.75">
      <c r="B54" s="6"/>
      <c r="C54" s="6"/>
      <c r="D54" s="8"/>
      <c r="E54" s="9"/>
      <c r="F54" s="9"/>
      <c r="G54" s="7"/>
      <c r="H54" s="36"/>
      <c r="I54" s="37"/>
      <c r="J54" s="6"/>
      <c r="K54" s="6"/>
      <c r="L54" s="6"/>
    </row>
    <row r="55" spans="2:12" ht="12.75">
      <c r="B55" s="6"/>
      <c r="C55" s="6"/>
      <c r="D55" s="8"/>
      <c r="E55" s="9"/>
      <c r="F55" s="9"/>
      <c r="G55" s="7"/>
      <c r="H55" s="36"/>
      <c r="I55" s="37"/>
      <c r="J55" s="6"/>
      <c r="K55" s="6"/>
      <c r="L55" s="6"/>
    </row>
    <row r="56" spans="2:12" ht="12.75">
      <c r="B56" s="6"/>
      <c r="C56" s="6"/>
      <c r="D56" s="8"/>
      <c r="E56" s="9"/>
      <c r="F56" s="9"/>
      <c r="G56" s="7"/>
      <c r="H56" s="36"/>
      <c r="I56" s="37"/>
      <c r="J56" s="6"/>
      <c r="K56" s="6"/>
      <c r="L56" s="6"/>
    </row>
    <row r="57" spans="2:12" ht="12.75">
      <c r="B57" s="6"/>
      <c r="C57" s="6"/>
      <c r="D57" s="8"/>
      <c r="E57" s="9"/>
      <c r="F57" s="9"/>
      <c r="G57" s="7"/>
      <c r="H57" s="36"/>
      <c r="I57" s="37"/>
      <c r="J57" s="6"/>
      <c r="K57" s="6"/>
      <c r="L57" s="6"/>
    </row>
    <row r="58" spans="2:12" ht="12.75">
      <c r="B58" s="6"/>
      <c r="C58" s="6"/>
      <c r="D58" s="8"/>
      <c r="E58" s="9"/>
      <c r="F58" s="9"/>
      <c r="G58" s="7"/>
      <c r="H58" s="36"/>
      <c r="I58" s="37"/>
      <c r="J58" s="6"/>
      <c r="K58" s="6"/>
      <c r="L58" s="6"/>
    </row>
    <row r="59" spans="2:12" ht="12.75">
      <c r="B59" s="6"/>
      <c r="C59" s="6"/>
      <c r="D59" s="8"/>
      <c r="E59" s="9"/>
      <c r="F59" s="9"/>
      <c r="G59" s="7"/>
      <c r="H59" s="36"/>
      <c r="I59" s="37"/>
      <c r="J59" s="6"/>
      <c r="K59" s="6"/>
      <c r="L59" s="6"/>
    </row>
    <row r="60" spans="2:12" ht="12.75">
      <c r="B60" s="6"/>
      <c r="C60" s="6"/>
      <c r="D60" s="8"/>
      <c r="E60" s="9"/>
      <c r="F60" s="9"/>
      <c r="G60" s="7"/>
      <c r="H60" s="36"/>
      <c r="I60" s="37"/>
      <c r="J60" s="6"/>
      <c r="K60" s="6"/>
      <c r="L60" s="6"/>
    </row>
    <row r="61" spans="2:12" ht="12.75">
      <c r="B61" s="6"/>
      <c r="C61" s="6"/>
      <c r="D61" s="8"/>
      <c r="E61" s="9"/>
      <c r="F61" s="9"/>
      <c r="G61" s="7"/>
      <c r="H61" s="36"/>
      <c r="I61" s="37"/>
      <c r="J61" s="6"/>
      <c r="K61" s="6"/>
      <c r="L61" s="6"/>
    </row>
    <row r="62" spans="2:12" ht="12.75">
      <c r="B62" s="6"/>
      <c r="C62" s="6"/>
      <c r="D62" s="8"/>
      <c r="E62" s="9"/>
      <c r="F62" s="9"/>
      <c r="G62" s="7"/>
      <c r="H62" s="36"/>
      <c r="I62" s="37"/>
      <c r="J62" s="6"/>
      <c r="K62" s="6"/>
      <c r="L62" s="6"/>
    </row>
    <row r="63" spans="2:12" ht="12.75">
      <c r="B63" s="6"/>
      <c r="C63" s="6"/>
      <c r="D63" s="8"/>
      <c r="E63" s="9"/>
      <c r="F63" s="9"/>
      <c r="G63" s="7"/>
      <c r="H63" s="36"/>
      <c r="I63" s="37"/>
      <c r="J63" s="6"/>
      <c r="K63" s="6"/>
      <c r="L63" s="6"/>
    </row>
    <row r="64" spans="2:12" ht="12.75">
      <c r="B64" s="6"/>
      <c r="C64" s="6"/>
      <c r="D64" s="8"/>
      <c r="E64" s="9"/>
      <c r="F64" s="9"/>
      <c r="G64" s="7"/>
      <c r="H64" s="36"/>
      <c r="I64" s="37"/>
      <c r="J64" s="6"/>
      <c r="K64" s="6"/>
      <c r="L64" s="6"/>
    </row>
    <row r="65" spans="2:12" ht="12.75">
      <c r="B65" s="6"/>
      <c r="C65" s="6"/>
      <c r="D65" s="8"/>
      <c r="E65" s="9"/>
      <c r="F65" s="9"/>
      <c r="G65" s="7"/>
      <c r="H65" s="36"/>
      <c r="I65" s="37"/>
      <c r="J65" s="6"/>
      <c r="K65" s="6"/>
      <c r="L65" s="6"/>
    </row>
    <row r="66" spans="2:12" ht="12.75">
      <c r="B66" s="6"/>
      <c r="C66" s="6"/>
      <c r="D66" s="8"/>
      <c r="E66" s="9"/>
      <c r="F66" s="9"/>
      <c r="G66" s="7"/>
      <c r="H66" s="36"/>
      <c r="I66" s="37"/>
      <c r="J66" s="6"/>
      <c r="K66" s="6"/>
      <c r="L66" s="6"/>
    </row>
    <row r="67" spans="2:12" ht="12.75">
      <c r="B67" s="6"/>
      <c r="C67" s="6"/>
      <c r="D67" s="8"/>
      <c r="E67" s="9"/>
      <c r="F67" s="9"/>
      <c r="G67" s="7"/>
      <c r="H67" s="36"/>
      <c r="I67" s="37"/>
      <c r="J67" s="6"/>
      <c r="K67" s="6"/>
      <c r="L67" s="6"/>
    </row>
    <row r="68" spans="2:12" ht="12.75">
      <c r="B68" s="6"/>
      <c r="C68" s="6"/>
      <c r="D68" s="8"/>
      <c r="E68" s="9"/>
      <c r="F68" s="9"/>
      <c r="G68" s="7"/>
      <c r="H68" s="36"/>
      <c r="I68" s="37"/>
      <c r="J68" s="6"/>
      <c r="K68" s="6"/>
      <c r="L68" s="6"/>
    </row>
    <row r="69" spans="2:12" ht="12.75">
      <c r="B69" s="6"/>
      <c r="C69" s="6"/>
      <c r="D69" s="8"/>
      <c r="E69" s="9"/>
      <c r="F69" s="9"/>
      <c r="G69" s="7"/>
      <c r="H69" s="36"/>
      <c r="I69" s="37"/>
      <c r="J69" s="6"/>
      <c r="K69" s="6"/>
      <c r="L69" s="6"/>
    </row>
    <row r="70" spans="2:12" ht="12.75">
      <c r="B70" s="6"/>
      <c r="C70" s="6"/>
      <c r="D70" s="8"/>
      <c r="E70" s="9"/>
      <c r="F70" s="9"/>
      <c r="G70" s="7"/>
      <c r="H70" s="36"/>
      <c r="I70" s="37"/>
      <c r="J70" s="6"/>
      <c r="K70" s="6"/>
      <c r="L70" s="6"/>
    </row>
    <row r="71" spans="2:12" ht="12.75">
      <c r="B71" s="6"/>
      <c r="C71" s="6"/>
      <c r="D71" s="8"/>
      <c r="E71" s="9"/>
      <c r="F71" s="9"/>
      <c r="G71" s="7"/>
      <c r="H71" s="36"/>
      <c r="I71" s="37"/>
      <c r="J71" s="6"/>
      <c r="K71" s="6"/>
      <c r="L71" s="6"/>
    </row>
    <row r="72" spans="2:12" ht="12.75">
      <c r="B72" s="6"/>
      <c r="C72" s="6"/>
      <c r="D72" s="8"/>
      <c r="E72" s="9"/>
      <c r="F72" s="9"/>
      <c r="G72" s="7"/>
      <c r="H72" s="36"/>
      <c r="I72" s="37"/>
      <c r="J72" s="6"/>
      <c r="K72" s="6"/>
      <c r="L72" s="6"/>
    </row>
    <row r="73" spans="2:12" ht="12.75">
      <c r="B73" s="6"/>
      <c r="C73" s="6"/>
      <c r="D73" s="8"/>
      <c r="E73" s="9"/>
      <c r="F73" s="9"/>
      <c r="G73" s="7"/>
      <c r="H73" s="36"/>
      <c r="I73" s="37"/>
      <c r="J73" s="6"/>
      <c r="K73" s="6"/>
      <c r="L73" s="6"/>
    </row>
    <row r="74" spans="2:12" ht="12.75">
      <c r="B74" s="6"/>
      <c r="C74" s="6"/>
      <c r="D74" s="8"/>
      <c r="E74" s="9"/>
      <c r="F74" s="9"/>
      <c r="G74" s="7"/>
      <c r="H74" s="36"/>
      <c r="I74" s="37"/>
      <c r="J74" s="6"/>
      <c r="K74" s="6"/>
      <c r="L74" s="6"/>
    </row>
    <row r="75" spans="2:12" ht="12.75">
      <c r="B75" s="6"/>
      <c r="C75" s="6"/>
      <c r="D75" s="8"/>
      <c r="E75" s="9"/>
      <c r="F75" s="9"/>
      <c r="G75" s="7"/>
      <c r="H75" s="36"/>
      <c r="I75" s="37"/>
      <c r="J75" s="6"/>
      <c r="K75" s="6"/>
      <c r="L75" s="6"/>
    </row>
    <row r="76" spans="2:12" ht="12.75">
      <c r="B76" s="6"/>
      <c r="C76" s="6"/>
      <c r="D76" s="8"/>
      <c r="E76" s="9"/>
      <c r="F76" s="9"/>
      <c r="G76" s="7"/>
      <c r="H76" s="36"/>
      <c r="I76" s="37"/>
      <c r="J76" s="6"/>
      <c r="K76" s="6"/>
      <c r="L76" s="6"/>
    </row>
    <row r="77" spans="2:12" ht="12.75">
      <c r="B77" s="6"/>
      <c r="C77" s="6"/>
      <c r="D77" s="8"/>
      <c r="E77" s="9"/>
      <c r="F77" s="9"/>
      <c r="G77" s="7"/>
      <c r="H77" s="36"/>
      <c r="I77" s="37"/>
      <c r="J77" s="6"/>
      <c r="K77" s="6"/>
      <c r="L77" s="6"/>
    </row>
    <row r="78" spans="2:12" ht="12.75">
      <c r="B78" s="6"/>
      <c r="C78" s="6"/>
      <c r="D78" s="8"/>
      <c r="E78" s="9"/>
      <c r="F78" s="9"/>
      <c r="G78" s="7"/>
      <c r="H78" s="36"/>
      <c r="I78" s="37"/>
      <c r="J78" s="6"/>
      <c r="K78" s="6"/>
      <c r="L78" s="6"/>
    </row>
    <row r="79" spans="2:12" ht="12.75">
      <c r="B79" s="6"/>
      <c r="C79" s="6"/>
      <c r="D79" s="8"/>
      <c r="E79" s="9"/>
      <c r="F79" s="9"/>
      <c r="G79" s="7"/>
      <c r="H79" s="36"/>
      <c r="I79" s="37"/>
      <c r="J79" s="6"/>
      <c r="K79" s="6"/>
      <c r="L79" s="6"/>
    </row>
    <row r="80" spans="2:12" ht="12.75">
      <c r="B80" s="6"/>
      <c r="C80" s="6"/>
      <c r="D80" s="8"/>
      <c r="E80" s="9"/>
      <c r="F80" s="9"/>
      <c r="G80" s="7"/>
      <c r="H80" s="36"/>
      <c r="I80" s="37"/>
      <c r="J80" s="6"/>
      <c r="K80" s="6"/>
      <c r="L80" s="6"/>
    </row>
    <row r="81" spans="2:12" ht="12.75">
      <c r="B81" s="6"/>
      <c r="C81" s="6"/>
      <c r="D81" s="8"/>
      <c r="E81" s="9"/>
      <c r="F81" s="9"/>
      <c r="G81" s="7"/>
      <c r="H81" s="36"/>
      <c r="I81" s="37"/>
      <c r="J81" s="6"/>
      <c r="K81" s="6"/>
      <c r="L81" s="6"/>
    </row>
    <row r="82" spans="2:12" ht="12.75">
      <c r="B82" s="6"/>
      <c r="C82" s="6"/>
      <c r="D82" s="8"/>
      <c r="E82" s="9"/>
      <c r="F82" s="9"/>
      <c r="G82" s="7"/>
      <c r="H82" s="36"/>
      <c r="I82" s="37"/>
      <c r="J82" s="6"/>
      <c r="K82" s="6"/>
      <c r="L82" s="6"/>
    </row>
    <row r="83" spans="2:12" ht="12.75">
      <c r="B83" s="6"/>
      <c r="C83" s="6"/>
      <c r="D83" s="8"/>
      <c r="E83" s="9"/>
      <c r="F83" s="9"/>
      <c r="G83" s="7"/>
      <c r="H83" s="36"/>
      <c r="I83" s="37"/>
      <c r="J83" s="6"/>
      <c r="K83" s="6"/>
      <c r="L83" s="6"/>
    </row>
    <row r="84" spans="2:12" ht="12.75">
      <c r="B84" s="6"/>
      <c r="C84" s="6"/>
      <c r="D84" s="8"/>
      <c r="E84" s="9"/>
      <c r="F84" s="9"/>
      <c r="G84" s="7"/>
      <c r="H84" s="36"/>
      <c r="I84" s="37"/>
      <c r="J84" s="6"/>
      <c r="K84" s="6"/>
      <c r="L84" s="6"/>
    </row>
    <row r="85" spans="2:12" ht="12.75">
      <c r="B85" s="6"/>
      <c r="C85" s="6"/>
      <c r="D85" s="8"/>
      <c r="E85" s="9"/>
      <c r="F85" s="9"/>
      <c r="G85" s="7"/>
      <c r="H85" s="36"/>
      <c r="I85" s="37"/>
      <c r="J85" s="6"/>
      <c r="K85" s="6"/>
      <c r="L85" s="6"/>
    </row>
    <row r="86" spans="2:12" ht="12.75">
      <c r="B86" s="6"/>
      <c r="C86" s="6"/>
      <c r="D86" s="8"/>
      <c r="E86" s="9"/>
      <c r="F86" s="9"/>
      <c r="G86" s="7"/>
      <c r="H86" s="36"/>
      <c r="I86" s="37"/>
      <c r="J86" s="6"/>
      <c r="K86" s="6"/>
      <c r="L86" s="6"/>
    </row>
    <row r="87" spans="2:12" ht="12.75">
      <c r="B87" s="6"/>
      <c r="C87" s="6"/>
      <c r="D87" s="8"/>
      <c r="E87" s="9"/>
      <c r="F87" s="9"/>
      <c r="G87" s="7"/>
      <c r="H87" s="36"/>
      <c r="I87" s="37"/>
      <c r="J87" s="6"/>
      <c r="K87" s="6"/>
      <c r="L87" s="6"/>
    </row>
    <row r="88" spans="2:12" ht="12.75">
      <c r="B88" s="6"/>
      <c r="C88" s="6"/>
      <c r="D88" s="8"/>
      <c r="E88" s="9"/>
      <c r="F88" s="9"/>
      <c r="G88" s="7"/>
      <c r="H88" s="36"/>
      <c r="I88" s="37"/>
      <c r="J88" s="6"/>
      <c r="K88" s="6"/>
      <c r="L88" s="6"/>
    </row>
    <row r="89" spans="2:12" ht="12.75">
      <c r="B89" s="6"/>
      <c r="C89" s="6"/>
      <c r="D89" s="8"/>
      <c r="E89" s="9"/>
      <c r="F89" s="9"/>
      <c r="G89" s="7"/>
      <c r="H89" s="36"/>
      <c r="I89" s="37"/>
      <c r="J89" s="6"/>
      <c r="K89" s="6"/>
      <c r="L89" s="6"/>
    </row>
    <row r="90" spans="2:12" ht="12.75">
      <c r="B90" s="6"/>
      <c r="C90" s="6"/>
      <c r="D90" s="8"/>
      <c r="E90" s="9"/>
      <c r="F90" s="9"/>
      <c r="G90" s="7"/>
      <c r="H90" s="36"/>
      <c r="I90" s="37"/>
      <c r="J90" s="6"/>
      <c r="K90" s="6"/>
      <c r="L90" s="6"/>
    </row>
    <row r="91" spans="2:12" ht="12.75">
      <c r="B91" s="6"/>
      <c r="C91" s="6"/>
      <c r="D91" s="8"/>
      <c r="E91" s="9"/>
      <c r="F91" s="9"/>
      <c r="G91" s="7"/>
      <c r="H91" s="36"/>
      <c r="I91" s="37"/>
      <c r="J91" s="6"/>
      <c r="K91" s="6"/>
      <c r="L91" s="6"/>
    </row>
    <row r="92" spans="2:12" ht="12.75">
      <c r="B92" s="6"/>
      <c r="C92" s="6"/>
      <c r="D92" s="8"/>
      <c r="E92" s="9"/>
      <c r="F92" s="9"/>
      <c r="G92" s="7"/>
      <c r="H92" s="36"/>
      <c r="I92" s="37"/>
      <c r="J92" s="6"/>
      <c r="K92" s="6"/>
      <c r="L92" s="6"/>
    </row>
    <row r="93" spans="2:12" ht="12.75">
      <c r="B93" s="6"/>
      <c r="C93" s="6"/>
      <c r="D93" s="8"/>
      <c r="E93" s="9"/>
      <c r="F93" s="9"/>
      <c r="G93" s="7"/>
      <c r="H93" s="36"/>
      <c r="I93" s="37"/>
      <c r="J93" s="6"/>
      <c r="K93" s="6"/>
      <c r="L93" s="6"/>
    </row>
    <row r="94" spans="2:12" ht="12.75">
      <c r="B94" s="6"/>
      <c r="C94" s="6"/>
      <c r="D94" s="8"/>
      <c r="E94" s="9"/>
      <c r="F94" s="9"/>
      <c r="G94" s="7"/>
      <c r="H94" s="36"/>
      <c r="I94" s="37"/>
      <c r="J94" s="6"/>
      <c r="K94" s="6"/>
      <c r="L94" s="6"/>
    </row>
    <row r="95" spans="2:12" ht="12.75">
      <c r="B95" s="6"/>
      <c r="C95" s="6"/>
      <c r="D95" s="8"/>
      <c r="E95" s="9"/>
      <c r="F95" s="9"/>
      <c r="G95" s="7"/>
      <c r="H95" s="36"/>
      <c r="I95" s="37"/>
      <c r="J95" s="6"/>
      <c r="K95" s="6"/>
      <c r="L95" s="6"/>
    </row>
    <row r="96" spans="2:12" ht="12.75">
      <c r="B96" s="6"/>
      <c r="C96" s="6"/>
      <c r="D96" s="8"/>
      <c r="E96" s="9"/>
      <c r="F96" s="9"/>
      <c r="G96" s="7"/>
      <c r="H96" s="36"/>
      <c r="I96" s="37"/>
      <c r="J96" s="6"/>
      <c r="K96" s="6"/>
      <c r="L96" s="6"/>
    </row>
    <row r="97" spans="2:12" ht="12.75">
      <c r="B97" s="6"/>
      <c r="C97" s="6"/>
      <c r="D97" s="8"/>
      <c r="E97" s="9"/>
      <c r="F97" s="9"/>
      <c r="G97" s="7"/>
      <c r="H97" s="36"/>
      <c r="I97" s="37"/>
      <c r="J97" s="6"/>
      <c r="K97" s="6"/>
      <c r="L97" s="6"/>
    </row>
    <row r="98" spans="2:12" ht="12.75">
      <c r="B98" s="6"/>
      <c r="C98" s="6"/>
      <c r="D98" s="8"/>
      <c r="E98" s="9"/>
      <c r="F98" s="9"/>
      <c r="G98" s="7"/>
      <c r="H98" s="36"/>
      <c r="I98" s="37"/>
      <c r="J98" s="6"/>
      <c r="K98" s="6"/>
      <c r="L98" s="6"/>
    </row>
    <row r="99" spans="2:12" ht="12.75">
      <c r="B99" s="6"/>
      <c r="C99" s="6"/>
      <c r="D99" s="8"/>
      <c r="E99" s="9"/>
      <c r="F99" s="9"/>
      <c r="G99" s="7"/>
      <c r="H99" s="36"/>
      <c r="I99" s="37"/>
      <c r="J99" s="6"/>
      <c r="K99" s="6"/>
      <c r="L99" s="6"/>
    </row>
    <row r="100" spans="2:12" ht="12.75">
      <c r="B100" s="6"/>
      <c r="C100" s="6"/>
      <c r="D100" s="8"/>
      <c r="E100" s="9"/>
      <c r="F100" s="9"/>
      <c r="G100" s="7"/>
      <c r="H100" s="36"/>
      <c r="I100" s="37"/>
      <c r="J100" s="6"/>
      <c r="K100" s="6"/>
      <c r="L100" s="6"/>
    </row>
    <row r="101" spans="2:12" ht="12.75">
      <c r="B101" s="6"/>
      <c r="C101" s="6"/>
      <c r="D101" s="8"/>
      <c r="E101" s="9"/>
      <c r="F101" s="9"/>
      <c r="G101" s="7"/>
      <c r="H101" s="36"/>
      <c r="I101" s="37"/>
      <c r="J101" s="6"/>
      <c r="K101" s="6"/>
      <c r="L101" s="6"/>
    </row>
    <row r="102" spans="2:12" ht="12.75">
      <c r="B102" s="6"/>
      <c r="C102" s="6"/>
      <c r="D102" s="8"/>
      <c r="E102" s="9"/>
      <c r="F102" s="9"/>
      <c r="G102" s="7"/>
      <c r="H102" s="36"/>
      <c r="I102" s="37"/>
      <c r="J102" s="6"/>
      <c r="K102" s="6"/>
      <c r="L102" s="6"/>
    </row>
    <row r="103" spans="2:12" ht="12.75">
      <c r="B103" s="6"/>
      <c r="C103" s="6"/>
      <c r="D103" s="8"/>
      <c r="E103" s="9"/>
      <c r="F103" s="9"/>
      <c r="G103" s="7"/>
      <c r="H103" s="36"/>
      <c r="I103" s="37"/>
      <c r="J103" s="6"/>
      <c r="K103" s="6"/>
      <c r="L103" s="6"/>
    </row>
    <row r="104" spans="2:12" ht="12.75">
      <c r="B104" s="6"/>
      <c r="C104" s="6"/>
      <c r="D104" s="8"/>
      <c r="E104" s="9"/>
      <c r="F104" s="9"/>
      <c r="G104" s="7"/>
      <c r="H104" s="36"/>
      <c r="I104" s="37"/>
      <c r="J104" s="6"/>
      <c r="K104" s="6"/>
      <c r="L104" s="6"/>
    </row>
    <row r="105" spans="2:12" ht="12.75">
      <c r="B105" s="6"/>
      <c r="C105" s="6"/>
      <c r="D105" s="8"/>
      <c r="E105" s="9"/>
      <c r="F105" s="9"/>
      <c r="G105" s="7"/>
      <c r="H105" s="36"/>
      <c r="I105" s="37"/>
      <c r="J105" s="6"/>
      <c r="K105" s="6"/>
      <c r="L105" s="6"/>
    </row>
    <row r="106" spans="2:12" ht="12.75">
      <c r="B106" s="6"/>
      <c r="C106" s="6"/>
      <c r="D106" s="8"/>
      <c r="E106" s="9"/>
      <c r="F106" s="9"/>
      <c r="G106" s="7"/>
      <c r="H106" s="36"/>
      <c r="I106" s="37"/>
      <c r="J106" s="6"/>
      <c r="K106" s="6"/>
      <c r="L106" s="6"/>
    </row>
    <row r="107" spans="2:12" ht="12.75">
      <c r="B107" s="6"/>
      <c r="C107" s="6"/>
      <c r="D107" s="8"/>
      <c r="E107" s="9"/>
      <c r="F107" s="9"/>
      <c r="G107" s="7"/>
      <c r="H107" s="36"/>
      <c r="I107" s="37"/>
      <c r="J107" s="6"/>
      <c r="K107" s="6"/>
      <c r="L107" s="6"/>
    </row>
    <row r="108" spans="2:12" ht="12.75">
      <c r="B108" s="6"/>
      <c r="C108" s="6"/>
      <c r="D108" s="8"/>
      <c r="E108" s="9"/>
      <c r="F108" s="9"/>
      <c r="G108" s="7"/>
      <c r="H108" s="36"/>
      <c r="I108" s="37"/>
      <c r="J108" s="6"/>
      <c r="K108" s="6"/>
      <c r="L108" s="6"/>
    </row>
    <row r="109" spans="2:12" ht="12.75">
      <c r="B109" s="6"/>
      <c r="C109" s="6"/>
      <c r="D109" s="8"/>
      <c r="E109" s="9"/>
      <c r="F109" s="9"/>
      <c r="G109" s="7"/>
      <c r="H109" s="36"/>
      <c r="I109" s="37"/>
      <c r="J109" s="6"/>
      <c r="K109" s="6"/>
      <c r="L109" s="6"/>
    </row>
    <row r="110" spans="2:12" ht="12.75">
      <c r="B110" s="6"/>
      <c r="C110" s="6"/>
      <c r="D110" s="8"/>
      <c r="E110" s="9"/>
      <c r="F110" s="9"/>
      <c r="G110" s="7"/>
      <c r="H110" s="36"/>
      <c r="I110" s="37"/>
      <c r="J110" s="6"/>
      <c r="K110" s="6"/>
      <c r="L110" s="6"/>
    </row>
    <row r="111" spans="2:12" ht="12.75">
      <c r="B111" s="6"/>
      <c r="C111" s="6"/>
      <c r="D111" s="8"/>
      <c r="E111" s="9"/>
      <c r="F111" s="9"/>
      <c r="G111" s="7"/>
      <c r="H111" s="36"/>
      <c r="I111" s="37"/>
      <c r="J111" s="6"/>
      <c r="K111" s="6"/>
      <c r="L111" s="6"/>
    </row>
    <row r="112" spans="2:12" ht="12.75">
      <c r="B112" s="6"/>
      <c r="C112" s="6"/>
      <c r="D112" s="8"/>
      <c r="E112" s="9"/>
      <c r="F112" s="9"/>
      <c r="G112" s="7"/>
      <c r="H112" s="36"/>
      <c r="I112" s="37"/>
      <c r="J112" s="6"/>
      <c r="K112" s="6"/>
      <c r="L112" s="6"/>
    </row>
    <row r="113" spans="2:12" ht="12.75">
      <c r="B113" s="6"/>
      <c r="C113" s="6"/>
      <c r="D113" s="8"/>
      <c r="E113" s="9"/>
      <c r="F113" s="9"/>
      <c r="G113" s="7"/>
      <c r="H113" s="36"/>
      <c r="I113" s="37"/>
      <c r="J113" s="6"/>
      <c r="K113" s="6"/>
      <c r="L113" s="6"/>
    </row>
    <row r="114" spans="2:12" ht="12.75">
      <c r="B114" s="6"/>
      <c r="C114" s="6"/>
      <c r="D114" s="8"/>
      <c r="E114" s="9"/>
      <c r="F114" s="9"/>
      <c r="G114" s="7"/>
      <c r="H114" s="36"/>
      <c r="I114" s="37"/>
      <c r="J114" s="6"/>
      <c r="K114" s="6"/>
      <c r="L114" s="6"/>
    </row>
    <row r="115" spans="2:12" ht="12.75">
      <c r="B115" s="6"/>
      <c r="C115" s="6"/>
      <c r="D115" s="8"/>
      <c r="E115" s="9"/>
      <c r="F115" s="9"/>
      <c r="G115" s="7"/>
      <c r="H115" s="36"/>
      <c r="I115" s="37"/>
      <c r="J115" s="6"/>
      <c r="K115" s="6"/>
      <c r="L115" s="6"/>
    </row>
    <row r="116" spans="2:12" ht="12.75">
      <c r="B116" s="6"/>
      <c r="C116" s="6"/>
      <c r="D116" s="8"/>
      <c r="E116" s="9"/>
      <c r="F116" s="9"/>
      <c r="G116" s="7"/>
      <c r="H116" s="36"/>
      <c r="I116" s="37"/>
      <c r="J116" s="6"/>
      <c r="K116" s="6"/>
      <c r="L116" s="6"/>
    </row>
    <row r="117" spans="2:12" ht="12.75">
      <c r="B117" s="6"/>
      <c r="C117" s="6"/>
      <c r="D117" s="8"/>
      <c r="E117" s="9"/>
      <c r="F117" s="9"/>
      <c r="G117" s="7"/>
      <c r="H117" s="36"/>
      <c r="I117" s="37"/>
      <c r="J117" s="6"/>
      <c r="K117" s="6"/>
      <c r="L117" s="6"/>
    </row>
    <row r="118" spans="2:12" ht="12.75">
      <c r="B118" s="6"/>
      <c r="C118" s="6"/>
      <c r="D118" s="8"/>
      <c r="E118" s="9"/>
      <c r="F118" s="9"/>
      <c r="G118" s="7"/>
      <c r="H118" s="36"/>
      <c r="I118" s="37"/>
      <c r="J118" s="6"/>
      <c r="K118" s="6"/>
      <c r="L118" s="6"/>
    </row>
    <row r="119" spans="2:12" ht="12.75">
      <c r="B119" s="6"/>
      <c r="C119" s="6"/>
      <c r="D119" s="8"/>
      <c r="E119" s="9"/>
      <c r="F119" s="9"/>
      <c r="G119" s="7"/>
      <c r="H119" s="36"/>
      <c r="I119" s="37"/>
      <c r="J119" s="6"/>
      <c r="K119" s="6"/>
      <c r="L119" s="6"/>
    </row>
    <row r="120" spans="2:12" ht="12.75">
      <c r="B120" s="6"/>
      <c r="C120" s="6"/>
      <c r="D120" s="8"/>
      <c r="E120" s="9"/>
      <c r="F120" s="9"/>
      <c r="G120" s="7"/>
      <c r="H120" s="36"/>
      <c r="I120" s="37"/>
      <c r="J120" s="6"/>
      <c r="K120" s="6"/>
      <c r="L120" s="6"/>
    </row>
    <row r="121" spans="2:12" ht="12.75">
      <c r="B121" s="6"/>
      <c r="C121" s="6"/>
      <c r="D121" s="8"/>
      <c r="E121" s="9"/>
      <c r="F121" s="9"/>
      <c r="G121" s="7"/>
      <c r="H121" s="36"/>
      <c r="I121" s="37"/>
      <c r="J121" s="6"/>
      <c r="K121" s="6"/>
      <c r="L121" s="6"/>
    </row>
    <row r="122" spans="2:12" ht="12.75">
      <c r="B122" s="6"/>
      <c r="C122" s="6"/>
      <c r="D122" s="8"/>
      <c r="E122" s="9"/>
      <c r="F122" s="9"/>
      <c r="G122" s="7"/>
      <c r="H122" s="36"/>
      <c r="I122" s="37"/>
      <c r="J122" s="6"/>
      <c r="K122" s="6"/>
      <c r="L122" s="6"/>
    </row>
    <row r="123" spans="2:12" ht="12.75">
      <c r="B123" s="6"/>
      <c r="C123" s="6"/>
      <c r="D123" s="8"/>
      <c r="E123" s="9"/>
      <c r="F123" s="9"/>
      <c r="G123" s="7"/>
      <c r="H123" s="36"/>
      <c r="I123" s="37"/>
      <c r="J123" s="6"/>
      <c r="K123" s="6"/>
      <c r="L123" s="6"/>
    </row>
    <row r="124" spans="2:12" ht="12.75">
      <c r="B124" s="6"/>
      <c r="C124" s="6"/>
      <c r="D124" s="8"/>
      <c r="E124" s="9"/>
      <c r="F124" s="9"/>
      <c r="G124" s="7"/>
      <c r="H124" s="36"/>
      <c r="I124" s="37"/>
      <c r="J124" s="6"/>
      <c r="K124" s="6"/>
      <c r="L124" s="6"/>
    </row>
    <row r="125" spans="2:12" ht="12.75">
      <c r="B125" s="6"/>
      <c r="C125" s="6"/>
      <c r="D125" s="8"/>
      <c r="E125" s="9"/>
      <c r="F125" s="9"/>
      <c r="G125" s="7"/>
      <c r="H125" s="36"/>
      <c r="I125" s="37"/>
      <c r="J125" s="6"/>
      <c r="K125" s="6"/>
      <c r="L125" s="6"/>
    </row>
    <row r="126" spans="2:12" ht="12.75">
      <c r="B126" s="6"/>
      <c r="C126" s="6"/>
      <c r="D126" s="8"/>
      <c r="E126" s="9"/>
      <c r="F126" s="9"/>
      <c r="G126" s="7"/>
      <c r="H126" s="36"/>
      <c r="I126" s="37"/>
      <c r="J126" s="6"/>
      <c r="K126" s="6"/>
      <c r="L126" s="6"/>
    </row>
    <row r="127" spans="2:12" ht="12.75">
      <c r="B127" s="6"/>
      <c r="C127" s="6"/>
      <c r="D127" s="8"/>
      <c r="E127" s="9"/>
      <c r="F127" s="9"/>
      <c r="G127" s="7"/>
      <c r="H127" s="36"/>
      <c r="I127" s="37"/>
      <c r="J127" s="6"/>
      <c r="K127" s="6"/>
      <c r="L127" s="6"/>
    </row>
    <row r="128" spans="2:12" ht="12.75">
      <c r="B128" s="6"/>
      <c r="C128" s="6"/>
      <c r="D128" s="8"/>
      <c r="E128" s="9"/>
      <c r="F128" s="9"/>
      <c r="G128" s="7"/>
      <c r="H128" s="36"/>
      <c r="I128" s="37"/>
      <c r="J128" s="6"/>
      <c r="K128" s="6"/>
      <c r="L128" s="6"/>
    </row>
    <row r="129" spans="2:12" ht="12.75">
      <c r="B129" s="6"/>
      <c r="C129" s="6"/>
      <c r="D129" s="8"/>
      <c r="E129" s="9"/>
      <c r="F129" s="9"/>
      <c r="G129" s="7"/>
      <c r="H129" s="36"/>
      <c r="I129" s="37"/>
      <c r="J129" s="6"/>
      <c r="K129" s="6"/>
      <c r="L129" s="6"/>
    </row>
    <row r="130" spans="2:12" ht="12.75">
      <c r="B130" s="6"/>
      <c r="C130" s="6"/>
      <c r="D130" s="8"/>
      <c r="E130" s="9"/>
      <c r="F130" s="9"/>
      <c r="G130" s="7"/>
      <c r="H130" s="36"/>
      <c r="I130" s="37"/>
      <c r="J130" s="6"/>
      <c r="K130" s="6"/>
      <c r="L130" s="6"/>
    </row>
    <row r="131" spans="2:12" ht="12.75">
      <c r="B131" s="6"/>
      <c r="C131" s="6"/>
      <c r="D131" s="8"/>
      <c r="E131" s="9"/>
      <c r="F131" s="9"/>
      <c r="G131" s="7"/>
      <c r="H131" s="36"/>
      <c r="I131" s="37"/>
      <c r="J131" s="6"/>
      <c r="K131" s="6"/>
      <c r="L131" s="6"/>
    </row>
    <row r="132" spans="2:12" ht="12.75">
      <c r="B132" s="6"/>
      <c r="C132" s="6"/>
      <c r="D132" s="8"/>
      <c r="E132" s="9"/>
      <c r="F132" s="9"/>
      <c r="G132" s="7"/>
      <c r="H132" s="36"/>
      <c r="I132" s="37"/>
      <c r="J132" s="6"/>
      <c r="K132" s="6"/>
      <c r="L132" s="6"/>
    </row>
    <row r="133" spans="2:12" ht="12.75">
      <c r="B133" s="6"/>
      <c r="C133" s="6"/>
      <c r="D133" s="8"/>
      <c r="E133" s="9"/>
      <c r="F133" s="9"/>
      <c r="G133" s="7"/>
      <c r="H133" s="36"/>
      <c r="I133" s="37"/>
      <c r="J133" s="6"/>
      <c r="K133" s="6"/>
      <c r="L133" s="6"/>
    </row>
    <row r="134" spans="2:12" ht="12.75">
      <c r="B134" s="6"/>
      <c r="C134" s="6"/>
      <c r="D134" s="8"/>
      <c r="E134" s="9"/>
      <c r="F134" s="9"/>
      <c r="G134" s="7"/>
      <c r="H134" s="36"/>
      <c r="I134" s="37"/>
      <c r="J134" s="6"/>
      <c r="K134" s="6"/>
      <c r="L134" s="6"/>
    </row>
    <row r="135" spans="2:12" ht="12.75">
      <c r="B135" s="6"/>
      <c r="C135" s="6"/>
      <c r="D135" s="8"/>
      <c r="E135" s="9"/>
      <c r="F135" s="9"/>
      <c r="G135" s="7"/>
      <c r="H135" s="36"/>
      <c r="I135" s="37"/>
      <c r="J135" s="6"/>
      <c r="K135" s="6"/>
      <c r="L135" s="6"/>
    </row>
    <row r="136" spans="2:12" ht="12.75">
      <c r="B136" s="6"/>
      <c r="C136" s="6"/>
      <c r="D136" s="8"/>
      <c r="E136" s="9"/>
      <c r="F136" s="9"/>
      <c r="G136" s="7"/>
      <c r="H136" s="36"/>
      <c r="I136" s="37"/>
      <c r="J136" s="6"/>
      <c r="K136" s="6"/>
      <c r="L136" s="6"/>
    </row>
    <row r="137" spans="2:12" ht="12.75">
      <c r="B137" s="6"/>
      <c r="C137" s="6"/>
      <c r="D137" s="8"/>
      <c r="E137" s="9"/>
      <c r="F137" s="9"/>
      <c r="G137" s="7"/>
      <c r="H137" s="36"/>
      <c r="I137" s="37"/>
      <c r="J137" s="6"/>
      <c r="K137" s="6"/>
      <c r="L137" s="6"/>
    </row>
    <row r="138" spans="2:12" ht="12.75">
      <c r="B138" s="6"/>
      <c r="C138" s="6"/>
      <c r="D138" s="8"/>
      <c r="E138" s="9"/>
      <c r="F138" s="9"/>
      <c r="G138" s="7"/>
      <c r="H138" s="36"/>
      <c r="I138" s="37"/>
      <c r="J138" s="6"/>
      <c r="K138" s="6"/>
      <c r="L138" s="6"/>
    </row>
    <row r="139" spans="2:12" ht="12.75">
      <c r="B139" s="6"/>
      <c r="C139" s="6"/>
      <c r="D139" s="8"/>
      <c r="E139" s="9"/>
      <c r="F139" s="9"/>
      <c r="G139" s="7"/>
      <c r="H139" s="36"/>
      <c r="I139" s="37"/>
      <c r="J139" s="6"/>
      <c r="K139" s="6"/>
      <c r="L139" s="6"/>
    </row>
    <row r="140" spans="2:12" ht="12.75">
      <c r="B140" s="6"/>
      <c r="C140" s="6"/>
      <c r="D140" s="8"/>
      <c r="E140" s="9"/>
      <c r="F140" s="9"/>
      <c r="G140" s="7"/>
      <c r="H140" s="36"/>
      <c r="I140" s="37"/>
      <c r="J140" s="6"/>
      <c r="K140" s="6"/>
      <c r="L140" s="6"/>
    </row>
    <row r="141" spans="2:12" ht="12.75">
      <c r="B141" s="6"/>
      <c r="C141" s="6"/>
      <c r="D141" s="8"/>
      <c r="E141" s="9"/>
      <c r="F141" s="9"/>
      <c r="G141" s="7"/>
      <c r="H141" s="36"/>
      <c r="I141" s="37"/>
      <c r="J141" s="6"/>
      <c r="K141" s="6"/>
      <c r="L141" s="6"/>
    </row>
    <row r="142" spans="2:12" ht="12.75">
      <c r="B142" s="6"/>
      <c r="C142" s="6"/>
      <c r="D142" s="8"/>
      <c r="E142" s="9"/>
      <c r="F142" s="9"/>
      <c r="G142" s="7"/>
      <c r="H142" s="36"/>
      <c r="I142" s="37"/>
      <c r="J142" s="6"/>
      <c r="K142" s="6"/>
      <c r="L142" s="6"/>
    </row>
    <row r="143" spans="2:12" ht="12.75">
      <c r="B143" s="6"/>
      <c r="C143" s="6"/>
      <c r="D143" s="8"/>
      <c r="E143" s="9"/>
      <c r="F143" s="9"/>
      <c r="G143" s="7"/>
      <c r="H143" s="36"/>
      <c r="I143" s="37"/>
      <c r="J143" s="6"/>
      <c r="K143" s="6"/>
      <c r="L143" s="6"/>
    </row>
    <row r="144" spans="2:12" ht="12.75">
      <c r="B144" s="6"/>
      <c r="C144" s="6"/>
      <c r="D144" s="8"/>
      <c r="E144" s="9"/>
      <c r="F144" s="9"/>
      <c r="G144" s="7"/>
      <c r="H144" s="36"/>
      <c r="I144" s="37"/>
      <c r="J144" s="6"/>
      <c r="K144" s="6"/>
      <c r="L144" s="6"/>
    </row>
    <row r="145" spans="2:12" ht="12.75">
      <c r="B145" s="6"/>
      <c r="C145" s="6"/>
      <c r="D145" s="8"/>
      <c r="E145" s="9"/>
      <c r="F145" s="9"/>
      <c r="G145" s="7"/>
      <c r="H145" s="36"/>
      <c r="I145" s="37"/>
      <c r="J145" s="6"/>
      <c r="K145" s="6"/>
      <c r="L145" s="6"/>
    </row>
    <row r="146" spans="2:12" ht="12.75">
      <c r="B146" s="6"/>
      <c r="C146" s="6"/>
      <c r="D146" s="8"/>
      <c r="E146" s="9"/>
      <c r="F146" s="9"/>
      <c r="G146" s="7"/>
      <c r="H146" s="36"/>
      <c r="I146" s="37"/>
      <c r="J146" s="6"/>
      <c r="K146" s="6"/>
      <c r="L146" s="6"/>
    </row>
    <row r="147" spans="2:12" ht="12.75">
      <c r="B147" s="6"/>
      <c r="C147" s="6"/>
      <c r="D147" s="8"/>
      <c r="E147" s="9"/>
      <c r="F147" s="9"/>
      <c r="G147" s="7"/>
      <c r="H147" s="36"/>
      <c r="I147" s="37"/>
      <c r="J147" s="6"/>
      <c r="K147" s="6"/>
      <c r="L147" s="6"/>
    </row>
    <row r="148" spans="2:12" ht="12.75">
      <c r="B148" s="6"/>
      <c r="C148" s="6"/>
      <c r="D148" s="8"/>
      <c r="E148" s="9"/>
      <c r="F148" s="9"/>
      <c r="G148" s="7"/>
      <c r="H148" s="36"/>
      <c r="I148" s="37"/>
      <c r="J148" s="6"/>
      <c r="K148" s="6"/>
      <c r="L148" s="6"/>
    </row>
    <row r="149" spans="2:12" ht="12.75">
      <c r="B149" s="6"/>
      <c r="C149" s="6"/>
      <c r="D149" s="8"/>
      <c r="E149" s="9"/>
      <c r="F149" s="9"/>
      <c r="G149" s="7"/>
      <c r="H149" s="36"/>
      <c r="I149" s="37"/>
      <c r="J149" s="6"/>
      <c r="K149" s="6"/>
      <c r="L149" s="6"/>
    </row>
    <row r="150" spans="2:12" ht="12.75">
      <c r="B150" s="6"/>
      <c r="C150" s="6"/>
      <c r="D150" s="8"/>
      <c r="E150" s="9"/>
      <c r="F150" s="9"/>
      <c r="G150" s="7"/>
      <c r="H150" s="36"/>
      <c r="I150" s="37"/>
      <c r="J150" s="6"/>
      <c r="K150" s="6"/>
      <c r="L150" s="6"/>
    </row>
    <row r="151" spans="2:12" ht="12.75">
      <c r="B151" s="6"/>
      <c r="C151" s="6"/>
      <c r="D151" s="8"/>
      <c r="E151" s="9"/>
      <c r="F151" s="9"/>
      <c r="G151" s="7"/>
      <c r="H151" s="36"/>
      <c r="I151" s="37"/>
      <c r="J151" s="6"/>
      <c r="K151" s="6"/>
      <c r="L151" s="6"/>
    </row>
    <row r="152" spans="2:12" ht="12.75">
      <c r="B152" s="6"/>
      <c r="C152" s="6"/>
      <c r="D152" s="8"/>
      <c r="E152" s="9"/>
      <c r="F152" s="9"/>
      <c r="G152" s="7"/>
      <c r="H152" s="36"/>
      <c r="I152" s="37"/>
      <c r="J152" s="6"/>
      <c r="K152" s="6"/>
      <c r="L152" s="6"/>
    </row>
    <row r="153" spans="2:12" ht="12.75">
      <c r="B153" s="6"/>
      <c r="C153" s="6"/>
      <c r="D153" s="8"/>
      <c r="E153" s="9"/>
      <c r="F153" s="9"/>
      <c r="G153" s="7"/>
      <c r="H153" s="36"/>
      <c r="I153" s="37"/>
      <c r="J153" s="6"/>
      <c r="K153" s="6"/>
      <c r="L153" s="6"/>
    </row>
    <row r="154" spans="2:12" ht="12.75">
      <c r="B154" s="6"/>
      <c r="C154" s="6"/>
      <c r="D154" s="8"/>
      <c r="E154" s="9"/>
      <c r="F154" s="9"/>
      <c r="G154" s="7"/>
      <c r="H154" s="36"/>
      <c r="I154" s="37"/>
      <c r="J154" s="6"/>
      <c r="K154" s="6"/>
      <c r="L154" s="6"/>
    </row>
    <row r="155" spans="2:12" ht="12.75">
      <c r="B155" s="6"/>
      <c r="C155" s="6"/>
      <c r="D155" s="8"/>
      <c r="E155" s="9"/>
      <c r="F155" s="9"/>
      <c r="G155" s="7"/>
      <c r="H155" s="36"/>
      <c r="I155" s="37"/>
      <c r="J155" s="6"/>
      <c r="K155" s="6"/>
      <c r="L155" s="6"/>
    </row>
    <row r="156" spans="2:12" ht="12.75">
      <c r="B156" s="6"/>
      <c r="C156" s="6"/>
      <c r="D156" s="8"/>
      <c r="E156" s="9"/>
      <c r="F156" s="9"/>
      <c r="G156" s="7"/>
      <c r="H156" s="36"/>
      <c r="I156" s="37"/>
      <c r="J156" s="6"/>
      <c r="K156" s="6"/>
      <c r="L156" s="6"/>
    </row>
    <row r="157" spans="2:12" ht="12.75">
      <c r="B157" s="6"/>
      <c r="C157" s="6"/>
      <c r="D157" s="8"/>
      <c r="E157" s="9"/>
      <c r="F157" s="9"/>
      <c r="G157" s="7"/>
      <c r="H157" s="36"/>
      <c r="I157" s="37"/>
      <c r="J157" s="6"/>
      <c r="K157" s="6"/>
      <c r="L157" s="6"/>
    </row>
    <row r="158" spans="2:12" ht="12.75">
      <c r="B158" s="6"/>
      <c r="C158" s="6"/>
      <c r="D158" s="8"/>
      <c r="E158" s="9"/>
      <c r="F158" s="9"/>
      <c r="G158" s="7"/>
      <c r="H158" s="36"/>
      <c r="I158" s="37"/>
      <c r="J158" s="6"/>
      <c r="K158" s="6"/>
      <c r="L158" s="6"/>
    </row>
    <row r="159" spans="2:12" ht="12.75">
      <c r="B159" s="6"/>
      <c r="C159" s="6"/>
      <c r="D159" s="8"/>
      <c r="E159" s="9"/>
      <c r="F159" s="9"/>
      <c r="G159" s="7"/>
      <c r="H159" s="36"/>
      <c r="I159" s="37"/>
      <c r="J159" s="6"/>
      <c r="K159" s="6"/>
      <c r="L159" s="6"/>
    </row>
    <row r="160" spans="2:12" ht="12.75">
      <c r="B160" s="6"/>
      <c r="C160" s="6"/>
      <c r="D160" s="8"/>
      <c r="E160" s="9"/>
      <c r="F160" s="9"/>
      <c r="G160" s="7"/>
      <c r="H160" s="36"/>
      <c r="I160" s="37"/>
      <c r="J160" s="6"/>
      <c r="K160" s="6"/>
      <c r="L160" s="6"/>
    </row>
    <row r="161" spans="2:12" ht="12.75">
      <c r="B161" s="6"/>
      <c r="C161" s="6"/>
      <c r="D161" s="8"/>
      <c r="E161" s="9"/>
      <c r="F161" s="9"/>
      <c r="G161" s="7"/>
      <c r="H161" s="36"/>
      <c r="I161" s="37"/>
      <c r="J161" s="6"/>
      <c r="K161" s="6"/>
      <c r="L161" s="6"/>
    </row>
    <row r="162" spans="2:12" ht="12.75">
      <c r="B162" s="6"/>
      <c r="C162" s="6"/>
      <c r="D162" s="8"/>
      <c r="E162" s="9"/>
      <c r="F162" s="9"/>
      <c r="G162" s="7"/>
      <c r="H162" s="36"/>
      <c r="I162" s="37"/>
      <c r="J162" s="6"/>
      <c r="K162" s="6"/>
      <c r="L162" s="6"/>
    </row>
    <row r="163" spans="2:12" ht="12.75">
      <c r="B163" s="6"/>
      <c r="C163" s="6"/>
      <c r="D163" s="8"/>
      <c r="E163" s="9"/>
      <c r="F163" s="9"/>
      <c r="G163" s="7"/>
      <c r="H163" s="36"/>
      <c r="I163" s="37"/>
      <c r="J163" s="6"/>
      <c r="K163" s="6"/>
      <c r="L163" s="6"/>
    </row>
    <row r="164" spans="2:12" ht="12.75">
      <c r="B164" s="6"/>
      <c r="C164" s="6"/>
      <c r="D164" s="8"/>
      <c r="E164" s="9"/>
      <c r="F164" s="9"/>
      <c r="G164" s="7"/>
      <c r="H164" s="36"/>
      <c r="I164" s="37"/>
      <c r="J164" s="6"/>
      <c r="K164" s="6"/>
      <c r="L164" s="6"/>
    </row>
    <row r="165" spans="2:12" ht="12.75">
      <c r="B165" s="6"/>
      <c r="C165" s="6"/>
      <c r="D165" s="8"/>
      <c r="E165" s="9"/>
      <c r="F165" s="9"/>
      <c r="G165" s="7"/>
      <c r="H165" s="36"/>
      <c r="I165" s="37"/>
      <c r="J165" s="6"/>
      <c r="K165" s="6"/>
      <c r="L165" s="6"/>
    </row>
    <row r="166" spans="2:12" ht="12.75">
      <c r="B166" s="6"/>
      <c r="C166" s="6"/>
      <c r="D166" s="8"/>
      <c r="E166" s="9"/>
      <c r="F166" s="9"/>
      <c r="G166" s="7"/>
      <c r="H166" s="36"/>
      <c r="I166" s="37"/>
      <c r="J166" s="6"/>
      <c r="K166" s="6"/>
      <c r="L166" s="6"/>
    </row>
    <row r="167" spans="2:12" ht="12.75">
      <c r="B167" s="6"/>
      <c r="C167" s="6"/>
      <c r="D167" s="8"/>
      <c r="E167" s="9"/>
      <c r="F167" s="9"/>
      <c r="G167" s="7"/>
      <c r="H167" s="36"/>
      <c r="I167" s="37"/>
      <c r="J167" s="6"/>
      <c r="K167" s="6"/>
      <c r="L167" s="6"/>
    </row>
    <row r="168" spans="2:12" ht="12.75">
      <c r="B168" s="6"/>
      <c r="C168" s="6"/>
      <c r="D168" s="8"/>
      <c r="E168" s="9"/>
      <c r="F168" s="9"/>
      <c r="G168" s="7"/>
      <c r="H168" s="36"/>
      <c r="I168" s="37"/>
      <c r="J168" s="6"/>
      <c r="K168" s="6"/>
      <c r="L168" s="6"/>
    </row>
    <row r="169" spans="2:12" ht="12.75">
      <c r="B169" s="6"/>
      <c r="C169" s="6"/>
      <c r="D169" s="8"/>
      <c r="E169" s="9"/>
      <c r="F169" s="9"/>
      <c r="G169" s="7"/>
      <c r="H169" s="36"/>
      <c r="I169" s="37"/>
      <c r="J169" s="6"/>
      <c r="K169" s="6"/>
      <c r="L169" s="6"/>
    </row>
    <row r="170" spans="2:12" ht="12.75">
      <c r="B170" s="6"/>
      <c r="C170" s="6"/>
      <c r="D170" s="8"/>
      <c r="E170" s="9"/>
      <c r="F170" s="9"/>
      <c r="G170" s="7"/>
      <c r="H170" s="36"/>
      <c r="I170" s="37"/>
      <c r="J170" s="6"/>
      <c r="K170" s="6"/>
      <c r="L170" s="6"/>
    </row>
    <row r="171" spans="2:12" ht="12.75">
      <c r="B171" s="6"/>
      <c r="C171" s="6"/>
      <c r="D171" s="8"/>
      <c r="E171" s="9"/>
      <c r="F171" s="9"/>
      <c r="G171" s="7"/>
      <c r="H171" s="36"/>
      <c r="I171" s="37"/>
      <c r="J171" s="6"/>
      <c r="K171" s="6"/>
      <c r="L171" s="6"/>
    </row>
    <row r="172" spans="2:12" ht="12.75">
      <c r="B172" s="6"/>
      <c r="C172" s="6"/>
      <c r="D172" s="8"/>
      <c r="E172" s="9"/>
      <c r="F172" s="9"/>
      <c r="G172" s="7"/>
      <c r="H172" s="36"/>
      <c r="I172" s="37"/>
      <c r="J172" s="6"/>
      <c r="K172" s="6"/>
      <c r="L172" s="6"/>
    </row>
    <row r="173" spans="2:12" ht="12.75">
      <c r="B173" s="6"/>
      <c r="C173" s="6"/>
      <c r="D173" s="8"/>
      <c r="E173" s="9"/>
      <c r="F173" s="9"/>
      <c r="G173" s="7"/>
      <c r="H173" s="36"/>
      <c r="I173" s="37"/>
      <c r="J173" s="6"/>
      <c r="K173" s="6"/>
      <c r="L173" s="6"/>
    </row>
    <row r="174" spans="2:12" ht="12.75">
      <c r="B174" s="6"/>
      <c r="C174" s="6"/>
      <c r="D174" s="8"/>
      <c r="E174" s="9"/>
      <c r="F174" s="9"/>
      <c r="G174" s="7"/>
      <c r="H174" s="36"/>
      <c r="I174" s="37"/>
      <c r="J174" s="6"/>
      <c r="K174" s="6"/>
      <c r="L174" s="6"/>
    </row>
    <row r="175" spans="2:12" ht="12.75">
      <c r="B175" s="6"/>
      <c r="C175" s="6"/>
      <c r="D175" s="8"/>
      <c r="E175" s="9"/>
      <c r="F175" s="9"/>
      <c r="G175" s="7"/>
      <c r="H175" s="36"/>
      <c r="I175" s="37"/>
      <c r="J175" s="6"/>
      <c r="K175" s="6"/>
      <c r="L175" s="6"/>
    </row>
    <row r="176" spans="2:12" ht="12.75">
      <c r="B176" s="6"/>
      <c r="C176" s="6"/>
      <c r="D176" s="8"/>
      <c r="E176" s="9"/>
      <c r="F176" s="9"/>
      <c r="G176" s="7"/>
      <c r="H176" s="36"/>
      <c r="I176" s="37"/>
      <c r="J176" s="6"/>
      <c r="K176" s="6"/>
      <c r="L176" s="6"/>
    </row>
    <row r="177" spans="2:12" ht="12.75">
      <c r="B177" s="6"/>
      <c r="C177" s="6"/>
      <c r="D177" s="8"/>
      <c r="E177" s="9"/>
      <c r="F177" s="9"/>
      <c r="G177" s="7"/>
      <c r="H177" s="36"/>
      <c r="I177" s="37"/>
      <c r="J177" s="6"/>
      <c r="K177" s="6"/>
      <c r="L177" s="6"/>
    </row>
    <row r="178" spans="2:12" ht="12.75">
      <c r="B178" s="6"/>
      <c r="C178" s="6"/>
      <c r="D178" s="8"/>
      <c r="E178" s="9"/>
      <c r="F178" s="9"/>
      <c r="G178" s="7"/>
      <c r="H178" s="36"/>
      <c r="I178" s="37"/>
      <c r="J178" s="6"/>
      <c r="K178" s="6"/>
      <c r="L178" s="6"/>
    </row>
    <row r="179" spans="2:12" ht="12.75">
      <c r="B179" s="6"/>
      <c r="C179" s="6"/>
      <c r="D179" s="8"/>
      <c r="E179" s="9"/>
      <c r="F179" s="9"/>
      <c r="G179" s="7"/>
      <c r="H179" s="36"/>
      <c r="I179" s="37"/>
      <c r="J179" s="6"/>
      <c r="K179" s="6"/>
      <c r="L179" s="6"/>
    </row>
    <row r="180" spans="2:12" ht="12.75">
      <c r="B180" s="6"/>
      <c r="C180" s="6"/>
      <c r="D180" s="8"/>
      <c r="E180" s="9"/>
      <c r="F180" s="9"/>
      <c r="G180" s="7"/>
      <c r="H180" s="36"/>
      <c r="I180" s="37"/>
      <c r="J180" s="6"/>
      <c r="K180" s="6"/>
      <c r="L180" s="6"/>
    </row>
    <row r="181" spans="2:12" ht="12.75">
      <c r="B181" s="6"/>
      <c r="C181" s="6"/>
      <c r="D181" s="8"/>
      <c r="E181" s="9"/>
      <c r="F181" s="9"/>
      <c r="G181" s="7"/>
      <c r="H181" s="36"/>
      <c r="I181" s="37"/>
      <c r="J181" s="6"/>
      <c r="K181" s="6"/>
      <c r="L181" s="6"/>
    </row>
    <row r="182" spans="2:12" ht="12.75">
      <c r="B182" s="6"/>
      <c r="C182" s="6"/>
      <c r="D182" s="8"/>
      <c r="E182" s="9"/>
      <c r="F182" s="9"/>
      <c r="G182" s="7"/>
      <c r="H182" s="36"/>
      <c r="I182" s="37"/>
      <c r="J182" s="6"/>
      <c r="K182" s="6"/>
      <c r="L182" s="6"/>
    </row>
    <row r="183" spans="2:12" ht="12.75">
      <c r="B183" s="6"/>
      <c r="C183" s="6"/>
      <c r="D183" s="8"/>
      <c r="E183" s="9"/>
      <c r="F183" s="9"/>
      <c r="G183" s="7"/>
      <c r="H183" s="36"/>
      <c r="I183" s="37"/>
      <c r="J183" s="6"/>
      <c r="K183" s="6"/>
      <c r="L183" s="6"/>
    </row>
    <row r="184" spans="2:12" ht="12.75">
      <c r="B184" s="6"/>
      <c r="C184" s="6"/>
      <c r="D184" s="8"/>
      <c r="E184" s="9"/>
      <c r="F184" s="9"/>
      <c r="G184" s="7"/>
      <c r="H184" s="36"/>
      <c r="I184" s="37"/>
      <c r="J184" s="6"/>
      <c r="K184" s="6"/>
      <c r="L184" s="6"/>
    </row>
    <row r="185" spans="2:12" ht="12.75">
      <c r="B185" s="6"/>
      <c r="C185" s="6"/>
      <c r="D185" s="8"/>
      <c r="E185" s="9"/>
      <c r="F185" s="9"/>
      <c r="G185" s="7"/>
      <c r="H185" s="36"/>
      <c r="I185" s="37"/>
      <c r="J185" s="6"/>
      <c r="K185" s="6"/>
      <c r="L185" s="6"/>
    </row>
    <row r="186" spans="2:12" ht="12.75">
      <c r="B186" s="6"/>
      <c r="C186" s="6"/>
      <c r="D186" s="8"/>
      <c r="E186" s="9"/>
      <c r="F186" s="9"/>
      <c r="G186" s="7"/>
      <c r="H186" s="36"/>
      <c r="I186" s="37"/>
      <c r="J186" s="6"/>
      <c r="K186" s="6"/>
      <c r="L186" s="6"/>
    </row>
    <row r="187" spans="2:12" ht="12.75">
      <c r="B187" s="6"/>
      <c r="C187" s="6"/>
      <c r="D187" s="8"/>
      <c r="E187" s="9"/>
      <c r="F187" s="9"/>
      <c r="G187" s="7"/>
      <c r="H187" s="36"/>
      <c r="I187" s="37"/>
      <c r="J187" s="6"/>
      <c r="K187" s="6"/>
      <c r="L187" s="6"/>
    </row>
    <row r="188" spans="2:12" ht="12.75">
      <c r="B188" s="6"/>
      <c r="C188" s="6"/>
      <c r="D188" s="8"/>
      <c r="E188" s="9"/>
      <c r="F188" s="9"/>
      <c r="G188" s="7"/>
      <c r="H188" s="36"/>
      <c r="I188" s="37"/>
      <c r="J188" s="6"/>
      <c r="K188" s="6"/>
      <c r="L188" s="6"/>
    </row>
    <row r="189" spans="2:12" ht="12.75">
      <c r="B189" s="6"/>
      <c r="C189" s="6"/>
      <c r="D189" s="8"/>
      <c r="E189" s="9"/>
      <c r="F189" s="9"/>
      <c r="G189" s="7"/>
      <c r="H189" s="36"/>
      <c r="I189" s="37"/>
      <c r="J189" s="6"/>
      <c r="K189" s="6"/>
      <c r="L189" s="6"/>
    </row>
    <row r="190" spans="2:12" ht="12.75">
      <c r="B190" s="6"/>
      <c r="C190" s="6"/>
      <c r="D190" s="8"/>
      <c r="E190" s="9"/>
      <c r="F190" s="9"/>
      <c r="G190" s="7"/>
      <c r="H190" s="36"/>
      <c r="I190" s="37"/>
      <c r="J190" s="6"/>
      <c r="K190" s="6"/>
      <c r="L190" s="6"/>
    </row>
    <row r="191" spans="2:12" ht="12.75">
      <c r="B191" s="6"/>
      <c r="C191" s="6"/>
      <c r="D191" s="8"/>
      <c r="E191" s="9"/>
      <c r="F191" s="9"/>
      <c r="G191" s="7"/>
      <c r="H191" s="36"/>
      <c r="I191" s="37"/>
      <c r="J191" s="6"/>
      <c r="K191" s="6"/>
      <c r="L191" s="6"/>
    </row>
    <row r="192" spans="2:12" ht="12.75">
      <c r="B192" s="6"/>
      <c r="C192" s="6"/>
      <c r="D192" s="8"/>
      <c r="E192" s="9"/>
      <c r="F192" s="9"/>
      <c r="G192" s="7"/>
      <c r="H192" s="36"/>
      <c r="I192" s="37"/>
      <c r="J192" s="6"/>
      <c r="K192" s="6"/>
      <c r="L192" s="6"/>
    </row>
    <row r="193" spans="2:12" ht="12.75">
      <c r="B193" s="6"/>
      <c r="C193" s="6"/>
      <c r="D193" s="8"/>
      <c r="E193" s="9"/>
      <c r="F193" s="9"/>
      <c r="G193" s="7"/>
      <c r="H193" s="36"/>
      <c r="I193" s="37"/>
      <c r="J193" s="6"/>
      <c r="K193" s="6"/>
      <c r="L193" s="6"/>
    </row>
    <row r="194" spans="2:12" ht="12.75">
      <c r="B194" s="6"/>
      <c r="C194" s="6"/>
      <c r="D194" s="8"/>
      <c r="E194" s="9"/>
      <c r="F194" s="9"/>
      <c r="G194" s="7"/>
      <c r="H194" s="36"/>
      <c r="I194" s="37"/>
      <c r="J194" s="6"/>
      <c r="K194" s="6"/>
      <c r="L194" s="6"/>
    </row>
    <row r="195" spans="2:12" ht="12.75">
      <c r="B195" s="6"/>
      <c r="C195" s="6"/>
      <c r="D195" s="8"/>
      <c r="E195" s="9"/>
      <c r="F195" s="9"/>
      <c r="G195" s="7"/>
      <c r="H195" s="36"/>
      <c r="I195" s="37"/>
      <c r="J195" s="6"/>
      <c r="K195" s="6"/>
      <c r="L195" s="6"/>
    </row>
    <row r="196" spans="2:12" ht="12.75">
      <c r="B196" s="6"/>
      <c r="C196" s="6"/>
      <c r="D196" s="8"/>
      <c r="E196" s="9"/>
      <c r="F196" s="9"/>
      <c r="G196" s="7"/>
      <c r="H196" s="36"/>
      <c r="I196" s="37"/>
      <c r="J196" s="6"/>
      <c r="K196" s="6"/>
      <c r="L196" s="6"/>
    </row>
    <row r="197" spans="2:12" ht="12.75">
      <c r="B197" s="6"/>
      <c r="C197" s="6"/>
      <c r="D197" s="8"/>
      <c r="E197" s="9"/>
      <c r="F197" s="9"/>
      <c r="G197" s="7"/>
      <c r="H197" s="36"/>
      <c r="I197" s="37"/>
      <c r="J197" s="6"/>
      <c r="K197" s="6"/>
      <c r="L197" s="6"/>
    </row>
    <row r="198" spans="2:12" ht="12.75">
      <c r="B198" s="6"/>
      <c r="C198" s="6"/>
      <c r="D198" s="8"/>
      <c r="E198" s="9"/>
      <c r="F198" s="9"/>
      <c r="G198" s="7"/>
      <c r="H198" s="36"/>
      <c r="I198" s="37"/>
      <c r="J198" s="6"/>
      <c r="K198" s="6"/>
      <c r="L198" s="6"/>
    </row>
    <row r="199" spans="2:12" ht="12.75">
      <c r="B199" s="6"/>
      <c r="C199" s="6"/>
      <c r="D199" s="8"/>
      <c r="E199" s="9"/>
      <c r="F199" s="9"/>
      <c r="G199" s="7"/>
      <c r="H199" s="36"/>
      <c r="I199" s="37"/>
      <c r="J199" s="6"/>
      <c r="K199" s="6"/>
      <c r="L199" s="6"/>
    </row>
    <row r="200" spans="2:12" ht="12.75">
      <c r="B200" s="6"/>
      <c r="C200" s="6"/>
      <c r="D200" s="8"/>
      <c r="E200" s="9"/>
      <c r="F200" s="9"/>
      <c r="G200" s="7"/>
      <c r="H200" s="36"/>
      <c r="I200" s="37"/>
      <c r="J200" s="6"/>
      <c r="K200" s="6"/>
      <c r="L200" s="6"/>
    </row>
    <row r="201" spans="2:12" ht="12.75">
      <c r="B201" s="6"/>
      <c r="C201" s="6"/>
      <c r="D201" s="8"/>
      <c r="E201" s="9"/>
      <c r="F201" s="9"/>
      <c r="G201" s="7"/>
      <c r="H201" s="36"/>
      <c r="I201" s="37"/>
      <c r="J201" s="6"/>
      <c r="K201" s="6"/>
      <c r="L201" s="6"/>
    </row>
    <row r="202" spans="2:12" ht="12.75">
      <c r="B202" s="6"/>
      <c r="C202" s="6"/>
      <c r="D202" s="8"/>
      <c r="E202" s="9"/>
      <c r="F202" s="9"/>
      <c r="G202" s="7"/>
      <c r="H202" s="36"/>
      <c r="I202" s="37"/>
      <c r="J202" s="6"/>
      <c r="K202" s="6"/>
      <c r="L202" s="6"/>
    </row>
    <row r="203" spans="2:12" ht="12.75">
      <c r="B203" s="6"/>
      <c r="C203" s="6"/>
      <c r="D203" s="8"/>
      <c r="E203" s="9"/>
      <c r="F203" s="9"/>
      <c r="G203" s="7"/>
      <c r="H203" s="36"/>
      <c r="I203" s="37"/>
      <c r="J203" s="6"/>
      <c r="K203" s="6"/>
      <c r="L203" s="6"/>
    </row>
    <row r="204" spans="2:12" ht="12.75">
      <c r="B204" s="6"/>
      <c r="C204" s="6"/>
      <c r="D204" s="8"/>
      <c r="E204" s="9"/>
      <c r="F204" s="9"/>
      <c r="G204" s="7"/>
      <c r="H204" s="36"/>
      <c r="I204" s="37"/>
      <c r="J204" s="6"/>
      <c r="K204" s="6"/>
      <c r="L204" s="6"/>
    </row>
    <row r="205" spans="2:12" ht="12.75">
      <c r="B205" s="6"/>
      <c r="C205" s="6"/>
      <c r="D205" s="8"/>
      <c r="E205" s="9"/>
      <c r="F205" s="9"/>
      <c r="G205" s="7"/>
      <c r="H205" s="36"/>
      <c r="I205" s="37"/>
      <c r="J205" s="6"/>
      <c r="K205" s="6"/>
      <c r="L205" s="6"/>
    </row>
    <row r="206" spans="2:12" ht="12.75">
      <c r="B206" s="6"/>
      <c r="C206" s="6"/>
      <c r="D206" s="8"/>
      <c r="E206" s="9"/>
      <c r="F206" s="9"/>
      <c r="G206" s="7"/>
      <c r="H206" s="36"/>
      <c r="I206" s="37"/>
      <c r="J206" s="6"/>
      <c r="K206" s="6"/>
      <c r="L206" s="6"/>
    </row>
    <row r="207" spans="2:12" ht="12.75">
      <c r="B207" s="6"/>
      <c r="C207" s="6"/>
      <c r="D207" s="8"/>
      <c r="E207" s="9"/>
      <c r="F207" s="9"/>
      <c r="G207" s="7"/>
      <c r="H207" s="36"/>
      <c r="I207" s="37"/>
      <c r="J207" s="6"/>
      <c r="K207" s="6"/>
      <c r="L207" s="6"/>
    </row>
    <row r="208" spans="2:12" ht="12.75">
      <c r="B208" s="6"/>
      <c r="C208" s="6"/>
      <c r="D208" s="8"/>
      <c r="E208" s="9"/>
      <c r="F208" s="9"/>
      <c r="G208" s="7"/>
      <c r="H208" s="36"/>
      <c r="I208" s="37"/>
      <c r="J208" s="6"/>
      <c r="K208" s="6"/>
      <c r="L208" s="6"/>
    </row>
    <row r="209" spans="2:12" ht="12.75">
      <c r="B209" s="6"/>
      <c r="C209" s="6"/>
      <c r="D209" s="8"/>
      <c r="E209" s="9"/>
      <c r="F209" s="9"/>
      <c r="G209" s="7"/>
      <c r="H209" s="36"/>
      <c r="I209" s="37"/>
      <c r="J209" s="6"/>
      <c r="K209" s="6"/>
      <c r="L209" s="6"/>
    </row>
    <row r="210" spans="2:12" ht="12.75">
      <c r="B210" s="6"/>
      <c r="C210" s="6"/>
      <c r="D210" s="8"/>
      <c r="E210" s="9"/>
      <c r="F210" s="9"/>
      <c r="G210" s="7"/>
      <c r="H210" s="36"/>
      <c r="I210" s="37"/>
      <c r="J210" s="6"/>
      <c r="K210" s="6"/>
      <c r="L210" s="6"/>
    </row>
    <row r="211" spans="2:12" ht="12.75">
      <c r="B211" s="6"/>
      <c r="C211" s="6"/>
      <c r="D211" s="8"/>
      <c r="E211" s="9"/>
      <c r="F211" s="9"/>
      <c r="G211" s="7"/>
      <c r="H211" s="36"/>
      <c r="I211" s="37"/>
      <c r="J211" s="6"/>
      <c r="K211" s="6"/>
      <c r="L211" s="6"/>
    </row>
    <row r="212" spans="2:12" ht="12.75">
      <c r="B212" s="6"/>
      <c r="C212" s="6"/>
      <c r="D212" s="8"/>
      <c r="E212" s="9"/>
      <c r="F212" s="9"/>
      <c r="G212" s="7"/>
      <c r="H212" s="36"/>
      <c r="I212" s="37"/>
      <c r="J212" s="6"/>
      <c r="K212" s="6"/>
      <c r="L212" s="6"/>
    </row>
    <row r="213" spans="2:12" ht="12.75">
      <c r="B213" s="6"/>
      <c r="C213" s="6"/>
      <c r="D213" s="8"/>
      <c r="E213" s="9"/>
      <c r="F213" s="9"/>
      <c r="G213" s="7"/>
      <c r="H213" s="36"/>
      <c r="I213" s="37"/>
      <c r="J213" s="6"/>
      <c r="K213" s="6"/>
      <c r="L213" s="6"/>
    </row>
    <row r="214" spans="2:12" ht="12.75">
      <c r="B214" s="6"/>
      <c r="C214" s="6"/>
      <c r="D214" s="8"/>
      <c r="E214" s="9"/>
      <c r="F214" s="9"/>
      <c r="G214" s="7"/>
      <c r="H214" s="36"/>
      <c r="I214" s="37"/>
      <c r="J214" s="6"/>
      <c r="K214" s="6"/>
      <c r="L214" s="6"/>
    </row>
    <row r="215" spans="2:12" ht="12.75">
      <c r="B215" s="6"/>
      <c r="C215" s="6"/>
      <c r="D215" s="8"/>
      <c r="E215" s="9"/>
      <c r="F215" s="9"/>
      <c r="G215" s="7"/>
      <c r="H215" s="36"/>
      <c r="I215" s="37"/>
      <c r="J215" s="6"/>
      <c r="K215" s="6"/>
      <c r="L215" s="6"/>
    </row>
    <row r="216" spans="2:12" ht="12.75">
      <c r="B216" s="6"/>
      <c r="C216" s="6"/>
      <c r="D216" s="8"/>
      <c r="E216" s="9"/>
      <c r="F216" s="9"/>
      <c r="G216" s="7"/>
      <c r="H216" s="36"/>
      <c r="I216" s="37"/>
      <c r="J216" s="6"/>
      <c r="K216" s="6"/>
      <c r="L216" s="6"/>
    </row>
    <row r="217" spans="2:12" ht="12.75">
      <c r="B217" s="6"/>
      <c r="C217" s="6"/>
      <c r="D217" s="8"/>
      <c r="E217" s="9"/>
      <c r="F217" s="9"/>
      <c r="G217" s="7"/>
      <c r="H217" s="36"/>
      <c r="I217" s="37"/>
      <c r="J217" s="6"/>
      <c r="K217" s="6"/>
      <c r="L217" s="6"/>
    </row>
    <row r="218" spans="2:12" ht="12.75">
      <c r="B218" s="6"/>
      <c r="C218" s="6"/>
      <c r="D218" s="8"/>
      <c r="E218" s="9"/>
      <c r="F218" s="9"/>
      <c r="G218" s="7"/>
      <c r="H218" s="36"/>
      <c r="I218" s="37"/>
      <c r="J218" s="6"/>
      <c r="K218" s="6"/>
      <c r="L218" s="6"/>
    </row>
    <row r="219" spans="2:12" ht="12.75">
      <c r="B219" s="6"/>
      <c r="C219" s="6"/>
      <c r="D219" s="8"/>
      <c r="E219" s="9"/>
      <c r="F219" s="9"/>
      <c r="G219" s="7"/>
      <c r="H219" s="36"/>
      <c r="I219" s="37"/>
      <c r="J219" s="6"/>
      <c r="K219" s="6"/>
      <c r="L219" s="6"/>
    </row>
    <row r="220" spans="2:12" ht="12.75">
      <c r="B220" s="6"/>
      <c r="C220" s="6"/>
      <c r="D220" s="8"/>
      <c r="E220" s="9"/>
      <c r="F220" s="9"/>
      <c r="G220" s="7"/>
      <c r="H220" s="36"/>
      <c r="I220" s="37"/>
      <c r="J220" s="6"/>
      <c r="K220" s="6"/>
      <c r="L220" s="6"/>
    </row>
    <row r="221" spans="2:12" ht="12.75">
      <c r="B221" s="6"/>
      <c r="C221" s="6"/>
      <c r="D221" s="8"/>
      <c r="E221" s="9"/>
      <c r="F221" s="9"/>
      <c r="G221" s="7"/>
      <c r="H221" s="36"/>
      <c r="I221" s="37"/>
      <c r="J221" s="6"/>
      <c r="K221" s="6"/>
      <c r="L221" s="6"/>
    </row>
    <row r="222" spans="2:12" ht="12.75">
      <c r="B222" s="6"/>
      <c r="C222" s="6"/>
      <c r="D222" s="8"/>
      <c r="E222" s="9"/>
      <c r="F222" s="9"/>
      <c r="G222" s="7"/>
      <c r="H222" s="36"/>
      <c r="I222" s="37"/>
      <c r="J222" s="6"/>
      <c r="K222" s="6"/>
      <c r="L222" s="6"/>
    </row>
    <row r="223" spans="2:12" ht="12.75">
      <c r="B223" s="6"/>
      <c r="C223" s="6"/>
      <c r="D223" s="8"/>
      <c r="E223" s="9"/>
      <c r="F223" s="9"/>
      <c r="G223" s="7"/>
      <c r="H223" s="36"/>
      <c r="I223" s="37"/>
      <c r="J223" s="6"/>
      <c r="K223" s="6"/>
      <c r="L223" s="6"/>
    </row>
    <row r="224" spans="2:12" ht="12.75">
      <c r="B224" s="6"/>
      <c r="C224" s="6"/>
      <c r="D224" s="8"/>
      <c r="E224" s="9"/>
      <c r="F224" s="9"/>
      <c r="G224" s="7"/>
      <c r="H224" s="36"/>
      <c r="I224" s="37"/>
      <c r="J224" s="6"/>
      <c r="K224" s="6"/>
      <c r="L224" s="6"/>
    </row>
    <row r="225" spans="2:12" ht="12.75">
      <c r="B225" s="6"/>
      <c r="C225" s="6"/>
      <c r="D225" s="8"/>
      <c r="E225" s="9"/>
      <c r="F225" s="9"/>
      <c r="G225" s="7"/>
      <c r="H225" s="36"/>
      <c r="I225" s="37"/>
      <c r="J225" s="6"/>
      <c r="K225" s="6"/>
      <c r="L225" s="6"/>
    </row>
    <row r="226" spans="2:12" ht="12.75">
      <c r="B226" s="6"/>
      <c r="C226" s="6"/>
      <c r="D226" s="8"/>
      <c r="E226" s="9"/>
      <c r="F226" s="9"/>
      <c r="G226" s="7"/>
      <c r="H226" s="36"/>
      <c r="I226" s="37"/>
      <c r="J226" s="6"/>
      <c r="K226" s="6"/>
      <c r="L226" s="6"/>
    </row>
    <row r="227" spans="2:12" ht="12.75">
      <c r="B227" s="6"/>
      <c r="C227" s="6"/>
      <c r="D227" s="8"/>
      <c r="E227" s="9"/>
      <c r="F227" s="9"/>
      <c r="G227" s="7"/>
      <c r="H227" s="36"/>
      <c r="I227" s="37"/>
      <c r="J227" s="6"/>
      <c r="K227" s="6"/>
      <c r="L227" s="6"/>
    </row>
    <row r="228" spans="2:12" ht="12.75">
      <c r="B228" s="6"/>
      <c r="C228" s="6"/>
      <c r="D228" s="8"/>
      <c r="E228" s="9"/>
      <c r="F228" s="9"/>
      <c r="G228" s="7"/>
      <c r="H228" s="36"/>
      <c r="I228" s="37"/>
      <c r="J228" s="6"/>
      <c r="K228" s="6"/>
      <c r="L228" s="6"/>
    </row>
    <row r="229" spans="2:12" ht="12.75">
      <c r="B229" s="6"/>
      <c r="C229" s="6"/>
      <c r="D229" s="8"/>
      <c r="E229" s="9"/>
      <c r="F229" s="9"/>
      <c r="G229" s="7"/>
      <c r="H229" s="36"/>
      <c r="I229" s="37"/>
      <c r="J229" s="6"/>
      <c r="K229" s="6"/>
      <c r="L229" s="6"/>
    </row>
    <row r="230" spans="2:12" ht="12.75">
      <c r="B230" s="6"/>
      <c r="C230" s="6"/>
      <c r="D230" s="8"/>
      <c r="E230" s="9"/>
      <c r="F230" s="9"/>
      <c r="G230" s="7"/>
      <c r="H230" s="36"/>
      <c r="I230" s="37"/>
      <c r="J230" s="6"/>
      <c r="K230" s="6"/>
      <c r="L230" s="6"/>
    </row>
    <row r="231" spans="2:12" ht="12.75">
      <c r="B231" s="6"/>
      <c r="C231" s="6"/>
      <c r="D231" s="8"/>
      <c r="E231" s="9"/>
      <c r="F231" s="9"/>
      <c r="G231" s="7"/>
      <c r="H231" s="36"/>
      <c r="I231" s="37"/>
      <c r="J231" s="6"/>
      <c r="K231" s="6"/>
      <c r="L231" s="6"/>
    </row>
    <row r="232" spans="2:12" ht="12.75">
      <c r="B232" s="6"/>
      <c r="C232" s="6"/>
      <c r="D232" s="8"/>
      <c r="E232" s="9"/>
      <c r="F232" s="9"/>
      <c r="G232" s="7"/>
      <c r="H232" s="36"/>
      <c r="I232" s="37"/>
      <c r="J232" s="6"/>
      <c r="K232" s="6"/>
      <c r="L232" s="6"/>
    </row>
    <row r="233" spans="2:12" ht="12.75">
      <c r="B233" s="6"/>
      <c r="C233" s="6"/>
      <c r="D233" s="8"/>
      <c r="E233" s="9"/>
      <c r="F233" s="9"/>
      <c r="G233" s="7"/>
      <c r="H233" s="36"/>
      <c r="I233" s="37"/>
      <c r="J233" s="6"/>
      <c r="K233" s="6"/>
      <c r="L233" s="6"/>
    </row>
    <row r="234" spans="2:12" ht="12.75">
      <c r="B234" s="6"/>
      <c r="C234" s="6"/>
      <c r="D234" s="8"/>
      <c r="E234" s="9"/>
      <c r="F234" s="9"/>
      <c r="G234" s="7"/>
      <c r="H234" s="36"/>
      <c r="I234" s="37"/>
      <c r="J234" s="6"/>
      <c r="K234" s="6"/>
      <c r="L234" s="6"/>
    </row>
    <row r="235" spans="2:12" ht="12.75">
      <c r="B235" s="6"/>
      <c r="C235" s="6"/>
      <c r="D235" s="8"/>
      <c r="E235" s="9"/>
      <c r="F235" s="9"/>
      <c r="G235" s="7"/>
      <c r="H235" s="36"/>
      <c r="I235" s="37"/>
      <c r="J235" s="6"/>
      <c r="K235" s="6"/>
      <c r="L235" s="6"/>
    </row>
    <row r="236" spans="2:12" ht="12.75">
      <c r="B236" s="6"/>
      <c r="C236" s="6"/>
      <c r="D236" s="8"/>
      <c r="E236" s="9"/>
      <c r="F236" s="9"/>
      <c r="G236" s="7"/>
      <c r="H236" s="36"/>
      <c r="I236" s="37"/>
      <c r="J236" s="6"/>
      <c r="K236" s="6"/>
      <c r="L236" s="6"/>
    </row>
    <row r="237" spans="2:12" ht="12.75">
      <c r="B237" s="6"/>
      <c r="C237" s="6"/>
      <c r="D237" s="8"/>
      <c r="E237" s="9"/>
      <c r="F237" s="9"/>
      <c r="G237" s="7"/>
      <c r="H237" s="36"/>
      <c r="I237" s="37"/>
      <c r="J237" s="6"/>
      <c r="K237" s="6"/>
      <c r="L237" s="6"/>
    </row>
    <row r="238" spans="2:12" ht="12.75">
      <c r="B238" s="6"/>
      <c r="C238" s="6"/>
      <c r="D238" s="8"/>
      <c r="E238" s="9"/>
      <c r="F238" s="9"/>
      <c r="G238" s="7"/>
      <c r="H238" s="36"/>
      <c r="I238" s="37"/>
      <c r="J238" s="6"/>
      <c r="K238" s="6"/>
      <c r="L238" s="6"/>
    </row>
    <row r="239" spans="2:12" ht="12.75">
      <c r="B239" s="6"/>
      <c r="C239" s="6"/>
      <c r="D239" s="8"/>
      <c r="E239" s="9"/>
      <c r="F239" s="9"/>
      <c r="G239" s="7"/>
      <c r="H239" s="36"/>
      <c r="I239" s="37"/>
      <c r="J239" s="6"/>
      <c r="K239" s="6"/>
      <c r="L239" s="6"/>
    </row>
    <row r="240" spans="2:12" ht="12.75">
      <c r="B240" s="6"/>
      <c r="C240" s="6"/>
      <c r="D240" s="8"/>
      <c r="E240" s="9"/>
      <c r="F240" s="9"/>
      <c r="G240" s="7"/>
      <c r="H240" s="36"/>
      <c r="I240" s="37"/>
      <c r="J240" s="6"/>
      <c r="K240" s="6"/>
      <c r="L240" s="6"/>
    </row>
    <row r="241" spans="2:12" ht="12.75">
      <c r="B241" s="6"/>
      <c r="C241" s="6"/>
      <c r="D241" s="8"/>
      <c r="E241" s="9"/>
      <c r="F241" s="9"/>
      <c r="G241" s="7"/>
      <c r="H241" s="36"/>
      <c r="I241" s="37"/>
      <c r="J241" s="6"/>
      <c r="K241" s="6"/>
      <c r="L241" s="6"/>
    </row>
    <row r="242" spans="2:12" ht="12.75">
      <c r="B242" s="6"/>
      <c r="C242" s="6"/>
      <c r="D242" s="8"/>
      <c r="E242" s="9"/>
      <c r="F242" s="9"/>
      <c r="G242" s="7"/>
      <c r="H242" s="36"/>
      <c r="I242" s="37"/>
      <c r="J242" s="6"/>
      <c r="K242" s="6"/>
      <c r="L242" s="6"/>
    </row>
    <row r="243" spans="2:12" ht="12.75">
      <c r="B243" s="6"/>
      <c r="C243" s="6"/>
      <c r="D243" s="8"/>
      <c r="E243" s="9"/>
      <c r="F243" s="9"/>
      <c r="G243" s="7"/>
      <c r="H243" s="36"/>
      <c r="I243" s="37"/>
      <c r="J243" s="6"/>
      <c r="K243" s="6"/>
      <c r="L243" s="6"/>
    </row>
    <row r="244" spans="2:12" ht="12.75">
      <c r="B244" s="6"/>
      <c r="C244" s="6"/>
      <c r="D244" s="8"/>
      <c r="E244" s="9"/>
      <c r="F244" s="9"/>
      <c r="G244" s="7"/>
      <c r="H244" s="36"/>
      <c r="I244" s="37"/>
      <c r="J244" s="6"/>
      <c r="K244" s="6"/>
      <c r="L244" s="6"/>
    </row>
    <row r="245" spans="2:12" ht="12.75">
      <c r="B245" s="6"/>
      <c r="C245" s="6"/>
      <c r="D245" s="8"/>
      <c r="E245" s="9"/>
      <c r="F245" s="9"/>
      <c r="G245" s="7"/>
      <c r="H245" s="36"/>
      <c r="I245" s="37"/>
      <c r="J245" s="6"/>
      <c r="K245" s="6"/>
      <c r="L245" s="6"/>
    </row>
    <row r="246" spans="2:12" ht="12.75">
      <c r="B246" s="6"/>
      <c r="C246" s="6"/>
      <c r="D246" s="8"/>
      <c r="E246" s="9"/>
      <c r="F246" s="9"/>
      <c r="G246" s="7"/>
      <c r="H246" s="36"/>
      <c r="I246" s="37"/>
      <c r="J246" s="6"/>
      <c r="K246" s="6"/>
      <c r="L246" s="6"/>
    </row>
    <row r="247" spans="2:12" ht="12.75">
      <c r="B247" s="6"/>
      <c r="C247" s="6"/>
      <c r="D247" s="8"/>
      <c r="E247" s="9"/>
      <c r="F247" s="9"/>
      <c r="G247" s="7"/>
      <c r="H247" s="36"/>
      <c r="I247" s="37"/>
      <c r="J247" s="6"/>
      <c r="K247" s="6"/>
      <c r="L247" s="6"/>
    </row>
    <row r="248" spans="2:12" ht="12.75">
      <c r="B248" s="6"/>
      <c r="C248" s="6"/>
      <c r="D248" s="8"/>
      <c r="E248" s="9"/>
      <c r="F248" s="9"/>
      <c r="G248" s="7"/>
      <c r="H248" s="36"/>
      <c r="I248" s="37"/>
      <c r="J248" s="6"/>
      <c r="K248" s="6"/>
      <c r="L248" s="6"/>
    </row>
    <row r="249" spans="2:12" ht="12.75">
      <c r="B249" s="6"/>
      <c r="C249" s="6"/>
      <c r="D249" s="8"/>
      <c r="E249" s="9"/>
      <c r="F249" s="9"/>
      <c r="G249" s="7"/>
      <c r="H249" s="36"/>
      <c r="I249" s="37"/>
      <c r="J249" s="6"/>
      <c r="K249" s="6"/>
      <c r="L249" s="6"/>
    </row>
    <row r="250" spans="2:12" ht="12.75">
      <c r="B250" s="6"/>
      <c r="C250" s="6"/>
      <c r="D250" s="8"/>
      <c r="E250" s="9"/>
      <c r="F250" s="9"/>
      <c r="G250" s="7"/>
      <c r="H250" s="36"/>
      <c r="I250" s="37"/>
      <c r="J250" s="6"/>
      <c r="K250" s="6"/>
      <c r="L250" s="6"/>
    </row>
    <row r="251" spans="2:12" ht="12.75">
      <c r="B251" s="6"/>
      <c r="C251" s="6"/>
      <c r="D251" s="8"/>
      <c r="E251" s="9"/>
      <c r="F251" s="9"/>
      <c r="G251" s="7"/>
      <c r="H251" s="36"/>
      <c r="I251" s="37"/>
      <c r="J251" s="6"/>
      <c r="K251" s="6"/>
      <c r="L251" s="6"/>
    </row>
    <row r="252" spans="2:12" ht="12.75">
      <c r="B252" s="6"/>
      <c r="C252" s="6"/>
      <c r="D252" s="8"/>
      <c r="E252" s="9"/>
      <c r="F252" s="9"/>
      <c r="G252" s="7"/>
      <c r="H252" s="36"/>
      <c r="I252" s="37"/>
      <c r="J252" s="6"/>
      <c r="K252" s="6"/>
      <c r="L252" s="6"/>
    </row>
    <row r="253" spans="2:12" ht="12.75">
      <c r="B253" s="6"/>
      <c r="C253" s="6"/>
      <c r="D253" s="8"/>
      <c r="E253" s="9"/>
      <c r="F253" s="9"/>
      <c r="G253" s="7"/>
      <c r="H253" s="36"/>
      <c r="I253" s="37"/>
      <c r="J253" s="6"/>
      <c r="K253" s="6"/>
      <c r="L253" s="6"/>
    </row>
    <row r="254" spans="2:12" ht="12.75">
      <c r="B254" s="6"/>
      <c r="C254" s="6"/>
      <c r="D254" s="8"/>
      <c r="E254" s="9"/>
      <c r="F254" s="9"/>
      <c r="G254" s="7"/>
      <c r="H254" s="36"/>
      <c r="I254" s="37"/>
      <c r="J254" s="6"/>
      <c r="K254" s="6"/>
      <c r="L254" s="6"/>
    </row>
    <row r="255" spans="2:12" ht="12.75">
      <c r="B255" s="6"/>
      <c r="C255" s="6"/>
      <c r="D255" s="8"/>
      <c r="E255" s="9"/>
      <c r="F255" s="9"/>
      <c r="G255" s="7"/>
      <c r="H255" s="36"/>
      <c r="I255" s="37"/>
      <c r="J255" s="6"/>
      <c r="K255" s="6"/>
      <c r="L255" s="6"/>
    </row>
    <row r="256" spans="2:12" ht="12.75">
      <c r="B256" s="6"/>
      <c r="C256" s="6"/>
      <c r="D256" s="8"/>
      <c r="E256" s="9"/>
      <c r="F256" s="9"/>
      <c r="G256" s="7"/>
      <c r="H256" s="36"/>
      <c r="I256" s="37"/>
      <c r="J256" s="6"/>
      <c r="K256" s="6"/>
      <c r="L256" s="6"/>
    </row>
    <row r="257" spans="2:12" ht="12.75">
      <c r="B257" s="6"/>
      <c r="C257" s="6"/>
      <c r="D257" s="8"/>
      <c r="E257" s="9"/>
      <c r="F257" s="9"/>
      <c r="G257" s="7"/>
      <c r="H257" s="36"/>
      <c r="I257" s="37"/>
      <c r="J257" s="6"/>
      <c r="K257" s="6"/>
      <c r="L257" s="6"/>
    </row>
    <row r="258" spans="2:12" ht="12.75">
      <c r="B258" s="6"/>
      <c r="C258" s="6"/>
      <c r="D258" s="8"/>
      <c r="E258" s="9"/>
      <c r="F258" s="9"/>
      <c r="G258" s="7"/>
      <c r="H258" s="36"/>
      <c r="I258" s="37"/>
      <c r="J258" s="6"/>
      <c r="K258" s="6"/>
      <c r="L258" s="6"/>
    </row>
    <row r="259" spans="2:12" ht="12.75">
      <c r="B259" s="6"/>
      <c r="C259" s="6"/>
      <c r="D259" s="8"/>
      <c r="E259" s="9"/>
      <c r="F259" s="9"/>
      <c r="G259" s="7"/>
      <c r="H259" s="36"/>
      <c r="I259" s="37"/>
      <c r="J259" s="6"/>
      <c r="K259" s="6"/>
      <c r="L259" s="6"/>
    </row>
    <row r="260" spans="2:12" ht="12.75">
      <c r="B260" s="6"/>
      <c r="C260" s="6"/>
      <c r="D260" s="8"/>
      <c r="E260" s="9"/>
      <c r="F260" s="9"/>
      <c r="G260" s="7"/>
      <c r="H260" s="36"/>
      <c r="I260" s="37"/>
      <c r="J260" s="6"/>
      <c r="K260" s="6"/>
      <c r="L260" s="6"/>
    </row>
    <row r="261" spans="2:12" ht="12.75">
      <c r="B261" s="6"/>
      <c r="C261" s="6"/>
      <c r="D261" s="8"/>
      <c r="E261" s="9"/>
      <c r="F261" s="9"/>
      <c r="G261" s="7"/>
      <c r="H261" s="36"/>
      <c r="I261" s="37"/>
      <c r="J261" s="6"/>
      <c r="K261" s="6"/>
      <c r="L261" s="6"/>
    </row>
    <row r="262" spans="2:12" ht="12.75">
      <c r="B262" s="6"/>
      <c r="C262" s="6"/>
      <c r="D262" s="8"/>
      <c r="E262" s="9"/>
      <c r="F262" s="9"/>
      <c r="G262" s="7"/>
      <c r="H262" s="36"/>
      <c r="I262" s="37"/>
      <c r="J262" s="6"/>
      <c r="K262" s="6"/>
      <c r="L262" s="6"/>
    </row>
    <row r="263" spans="2:12" ht="12.75">
      <c r="B263" s="6"/>
      <c r="C263" s="6"/>
      <c r="D263" s="8"/>
      <c r="E263" s="9"/>
      <c r="F263" s="9"/>
      <c r="G263" s="7"/>
      <c r="H263" s="36"/>
      <c r="I263" s="37"/>
      <c r="J263" s="6"/>
      <c r="K263" s="6"/>
      <c r="L263" s="6"/>
    </row>
    <row r="264" spans="2:12" ht="12.75">
      <c r="B264" s="6"/>
      <c r="C264" s="6"/>
      <c r="D264" s="8"/>
      <c r="E264" s="9"/>
      <c r="F264" s="9"/>
      <c r="G264" s="7"/>
      <c r="H264" s="36"/>
      <c r="I264" s="37"/>
      <c r="J264" s="6"/>
      <c r="K264" s="6"/>
      <c r="L264" s="6"/>
    </row>
    <row r="265" spans="2:12" ht="12.75">
      <c r="B265" s="6"/>
      <c r="C265" s="6"/>
      <c r="D265" s="8"/>
      <c r="E265" s="9"/>
      <c r="F265" s="9"/>
      <c r="G265" s="7"/>
      <c r="H265" s="36"/>
      <c r="I265" s="37"/>
      <c r="J265" s="6"/>
      <c r="K265" s="6"/>
      <c r="L265" s="6"/>
    </row>
    <row r="266" spans="2:12" ht="12.75">
      <c r="B266" s="6"/>
      <c r="C266" s="6"/>
      <c r="D266" s="8"/>
      <c r="E266" s="9"/>
      <c r="F266" s="9"/>
      <c r="G266" s="7"/>
      <c r="H266" s="36"/>
      <c r="I266" s="37"/>
      <c r="J266" s="6"/>
      <c r="K266" s="6"/>
      <c r="L266" s="6"/>
    </row>
    <row r="267" spans="2:12" ht="12.75">
      <c r="B267" s="6"/>
      <c r="C267" s="6"/>
      <c r="D267" s="8"/>
      <c r="E267" s="9"/>
      <c r="F267" s="9"/>
      <c r="G267" s="7"/>
      <c r="H267" s="36"/>
      <c r="I267" s="37"/>
      <c r="J267" s="6"/>
      <c r="K267" s="6"/>
      <c r="L267" s="6"/>
    </row>
    <row r="268" spans="2:12" ht="12.75">
      <c r="B268" s="6"/>
      <c r="C268" s="6"/>
      <c r="D268" s="8"/>
      <c r="E268" s="9"/>
      <c r="F268" s="9"/>
      <c r="G268" s="7"/>
      <c r="H268" s="36"/>
      <c r="I268" s="37"/>
      <c r="J268" s="6"/>
      <c r="K268" s="6"/>
      <c r="L268" s="6"/>
    </row>
    <row r="269" spans="2:12" ht="12.75">
      <c r="B269" s="6"/>
      <c r="C269" s="6"/>
      <c r="D269" s="8"/>
      <c r="E269" s="9"/>
      <c r="F269" s="9"/>
      <c r="G269" s="7"/>
      <c r="H269" s="36"/>
      <c r="I269" s="37"/>
      <c r="J269" s="6"/>
      <c r="K269" s="6"/>
      <c r="L269" s="6"/>
    </row>
    <row r="270" spans="2:12" ht="12.75">
      <c r="B270" s="6"/>
      <c r="C270" s="6"/>
      <c r="D270" s="8"/>
      <c r="E270" s="9"/>
      <c r="F270" s="9"/>
      <c r="G270" s="7"/>
      <c r="H270" s="36"/>
      <c r="I270" s="37"/>
      <c r="J270" s="6"/>
      <c r="K270" s="6"/>
      <c r="L270" s="6"/>
    </row>
    <row r="271" spans="2:12" ht="12.75">
      <c r="B271" s="6"/>
      <c r="C271" s="6"/>
      <c r="D271" s="8"/>
      <c r="E271" s="9"/>
      <c r="F271" s="9"/>
      <c r="G271" s="7"/>
      <c r="H271" s="36"/>
      <c r="I271" s="37"/>
      <c r="J271" s="6"/>
      <c r="K271" s="6"/>
      <c r="L271" s="6"/>
    </row>
    <row r="272" spans="2:12" ht="12.75">
      <c r="B272" s="6"/>
      <c r="C272" s="6"/>
      <c r="D272" s="8"/>
      <c r="E272" s="9"/>
      <c r="F272" s="9"/>
      <c r="G272" s="7"/>
      <c r="H272" s="36"/>
      <c r="I272" s="37"/>
      <c r="J272" s="6"/>
      <c r="K272" s="6"/>
      <c r="L272" s="6"/>
    </row>
    <row r="273" spans="2:12" ht="12.75">
      <c r="B273" s="6"/>
      <c r="C273" s="6"/>
      <c r="D273" s="8"/>
      <c r="E273" s="9"/>
      <c r="F273" s="9"/>
      <c r="G273" s="7"/>
      <c r="H273" s="36"/>
      <c r="I273" s="37"/>
      <c r="J273" s="6"/>
      <c r="K273" s="6"/>
      <c r="L273" s="6"/>
    </row>
    <row r="274" spans="2:12" ht="12.75">
      <c r="B274" s="6"/>
      <c r="C274" s="6"/>
      <c r="D274" s="8"/>
      <c r="E274" s="9"/>
      <c r="F274" s="9"/>
      <c r="G274" s="7"/>
      <c r="H274" s="36"/>
      <c r="I274" s="37"/>
      <c r="J274" s="6"/>
      <c r="K274" s="6"/>
      <c r="L274" s="6"/>
    </row>
    <row r="275" spans="2:12" ht="12.75">
      <c r="B275" s="6"/>
      <c r="C275" s="6"/>
      <c r="D275" s="8"/>
      <c r="E275" s="9"/>
      <c r="F275" s="9"/>
      <c r="G275" s="7"/>
      <c r="H275" s="36"/>
      <c r="I275" s="37"/>
      <c r="J275" s="6"/>
      <c r="K275" s="6"/>
      <c r="L275" s="6"/>
    </row>
    <row r="276" spans="2:12" ht="12.75">
      <c r="B276" s="6"/>
      <c r="C276" s="6"/>
      <c r="D276" s="8"/>
      <c r="E276" s="9"/>
      <c r="F276" s="9"/>
      <c r="G276" s="7"/>
      <c r="H276" s="36"/>
      <c r="I276" s="37"/>
      <c r="J276" s="6"/>
      <c r="K276" s="6"/>
      <c r="L276" s="6"/>
    </row>
    <row r="277" spans="2:12" ht="12.75">
      <c r="B277" s="6"/>
      <c r="C277" s="6"/>
      <c r="D277" s="8"/>
      <c r="E277" s="9"/>
      <c r="F277" s="9"/>
      <c r="G277" s="7"/>
      <c r="H277" s="36"/>
      <c r="I277" s="37"/>
      <c r="J277" s="6"/>
      <c r="K277" s="6"/>
      <c r="L277" s="6"/>
    </row>
    <row r="278" spans="2:12" ht="12.75">
      <c r="B278" s="6"/>
      <c r="C278" s="6"/>
      <c r="D278" s="8"/>
      <c r="E278" s="9"/>
      <c r="F278" s="9"/>
      <c r="G278" s="7"/>
      <c r="H278" s="36"/>
      <c r="I278" s="37"/>
      <c r="J278" s="6"/>
      <c r="K278" s="6"/>
      <c r="L278" s="6"/>
    </row>
    <row r="279" spans="2:12" ht="12.75">
      <c r="B279" s="6"/>
      <c r="C279" s="6"/>
      <c r="D279" s="8"/>
      <c r="E279" s="9"/>
      <c r="F279" s="9"/>
      <c r="G279" s="7"/>
      <c r="H279" s="36"/>
      <c r="I279" s="37"/>
      <c r="J279" s="6"/>
      <c r="K279" s="6"/>
      <c r="L279" s="6"/>
    </row>
    <row r="280" spans="2:12" ht="12.75">
      <c r="B280" s="6"/>
      <c r="C280" s="6"/>
      <c r="D280" s="8"/>
      <c r="E280" s="9"/>
      <c r="F280" s="9"/>
      <c r="G280" s="7"/>
      <c r="H280" s="36"/>
      <c r="I280" s="37"/>
      <c r="J280" s="6"/>
      <c r="K280" s="6"/>
      <c r="L280" s="6"/>
    </row>
    <row r="281" spans="2:12" ht="12.75">
      <c r="B281" s="6"/>
      <c r="C281" s="6"/>
      <c r="D281" s="8"/>
      <c r="E281" s="9"/>
      <c r="F281" s="9"/>
      <c r="G281" s="7"/>
      <c r="H281" s="36"/>
      <c r="I281" s="37"/>
      <c r="J281" s="6"/>
      <c r="K281" s="6"/>
      <c r="L281" s="6"/>
    </row>
    <row r="282" spans="2:12" ht="12.75">
      <c r="B282" s="6"/>
      <c r="C282" s="6"/>
      <c r="D282" s="8"/>
      <c r="E282" s="9"/>
      <c r="F282" s="9"/>
      <c r="G282" s="7"/>
      <c r="H282" s="36"/>
      <c r="I282" s="37"/>
      <c r="J282" s="6"/>
      <c r="K282" s="6"/>
      <c r="L282" s="6"/>
    </row>
    <row r="283" spans="2:12" ht="12.75">
      <c r="B283" s="6"/>
      <c r="C283" s="6"/>
      <c r="D283" s="8"/>
      <c r="E283" s="9"/>
      <c r="F283" s="9"/>
      <c r="G283" s="7"/>
      <c r="H283" s="36"/>
      <c r="I283" s="37"/>
      <c r="J283" s="6"/>
      <c r="K283" s="6"/>
      <c r="L283" s="6"/>
    </row>
    <row r="284" spans="2:12" ht="12.75">
      <c r="B284" s="6"/>
      <c r="C284" s="6"/>
      <c r="D284" s="8"/>
      <c r="E284" s="9"/>
      <c r="F284" s="9"/>
      <c r="G284" s="7"/>
      <c r="H284" s="36"/>
      <c r="I284" s="37"/>
      <c r="J284" s="6"/>
      <c r="K284" s="6"/>
      <c r="L284" s="6"/>
    </row>
    <row r="285" spans="2:12" ht="12.75">
      <c r="B285" s="6"/>
      <c r="C285" s="6"/>
      <c r="D285" s="8"/>
      <c r="E285" s="9"/>
      <c r="F285" s="9"/>
      <c r="G285" s="7"/>
      <c r="H285" s="36"/>
      <c r="I285" s="37"/>
      <c r="J285" s="6"/>
      <c r="K285" s="6"/>
      <c r="L285" s="6"/>
    </row>
    <row r="286" spans="2:12" ht="12.75">
      <c r="B286" s="6"/>
      <c r="C286" s="6"/>
      <c r="D286" s="8"/>
      <c r="E286" s="9"/>
      <c r="F286" s="9"/>
      <c r="G286" s="7"/>
      <c r="H286" s="36"/>
      <c r="I286" s="37"/>
      <c r="J286" s="6"/>
      <c r="K286" s="6"/>
      <c r="L286" s="6"/>
    </row>
    <row r="287" spans="2:12" ht="12.75">
      <c r="B287" s="6"/>
      <c r="C287" s="6"/>
      <c r="D287" s="8"/>
      <c r="E287" s="9"/>
      <c r="F287" s="9"/>
      <c r="G287" s="7"/>
      <c r="H287" s="36"/>
      <c r="I287" s="37"/>
      <c r="J287" s="6"/>
      <c r="K287" s="6"/>
      <c r="L287" s="6"/>
    </row>
    <row r="288" spans="2:12" ht="12.75">
      <c r="B288" s="6"/>
      <c r="C288" s="6"/>
      <c r="D288" s="8"/>
      <c r="E288" s="9"/>
      <c r="F288" s="9"/>
      <c r="G288" s="7"/>
      <c r="H288" s="36"/>
      <c r="I288" s="37"/>
      <c r="J288" s="6"/>
      <c r="K288" s="6"/>
      <c r="L288" s="6"/>
    </row>
    <row r="289" spans="2:12" ht="12.75">
      <c r="B289" s="6"/>
      <c r="C289" s="6"/>
      <c r="D289" s="8"/>
      <c r="E289" s="9"/>
      <c r="F289" s="9"/>
      <c r="G289" s="7"/>
      <c r="H289" s="36"/>
      <c r="I289" s="37"/>
      <c r="J289" s="6"/>
      <c r="K289" s="6"/>
      <c r="L289" s="6"/>
    </row>
    <row r="290" spans="2:12" ht="12.75">
      <c r="B290" s="6"/>
      <c r="C290" s="6"/>
      <c r="D290" s="8"/>
      <c r="E290" s="9"/>
      <c r="F290" s="9"/>
      <c r="G290" s="7"/>
      <c r="H290" s="36"/>
      <c r="I290" s="37"/>
      <c r="J290" s="6"/>
      <c r="K290" s="6"/>
      <c r="L290" s="6"/>
    </row>
    <row r="291" spans="2:12" ht="12.75">
      <c r="B291" s="6"/>
      <c r="C291" s="6"/>
      <c r="D291" s="8"/>
      <c r="E291" s="9"/>
      <c r="F291" s="9"/>
      <c r="G291" s="7"/>
      <c r="H291" s="36"/>
      <c r="I291" s="37"/>
      <c r="J291" s="6"/>
      <c r="K291" s="6"/>
      <c r="L291" s="6"/>
    </row>
    <row r="292" spans="2:12" ht="12.75">
      <c r="B292" s="6"/>
      <c r="C292" s="6"/>
      <c r="D292" s="8"/>
      <c r="E292" s="9"/>
      <c r="F292" s="9"/>
      <c r="G292" s="7"/>
      <c r="H292" s="36"/>
      <c r="I292" s="37"/>
      <c r="J292" s="6"/>
      <c r="K292" s="6"/>
      <c r="L292" s="6"/>
    </row>
    <row r="293" spans="2:12" ht="12.75">
      <c r="B293" s="6"/>
      <c r="C293" s="6"/>
      <c r="D293" s="8"/>
      <c r="E293" s="9"/>
      <c r="F293" s="9"/>
      <c r="G293" s="7"/>
      <c r="H293" s="36"/>
      <c r="I293" s="37"/>
      <c r="J293" s="6"/>
      <c r="K293" s="6"/>
      <c r="L293" s="6"/>
    </row>
    <row r="294" spans="2:12" ht="12.75">
      <c r="B294" s="6"/>
      <c r="C294" s="6"/>
      <c r="D294" s="8"/>
      <c r="E294" s="9"/>
      <c r="F294" s="9"/>
      <c r="G294" s="7"/>
      <c r="H294" s="36"/>
      <c r="I294" s="37"/>
      <c r="J294" s="6"/>
      <c r="K294" s="6"/>
      <c r="L294" s="6"/>
    </row>
    <row r="295" spans="2:12" ht="12.75">
      <c r="B295" s="6"/>
      <c r="C295" s="6"/>
      <c r="D295" s="8"/>
      <c r="E295" s="9"/>
      <c r="F295" s="9"/>
      <c r="G295" s="7"/>
      <c r="H295" s="36"/>
      <c r="I295" s="37"/>
      <c r="J295" s="6"/>
      <c r="K295" s="6"/>
      <c r="L295" s="6"/>
    </row>
    <row r="296" spans="2:12" ht="12.75">
      <c r="B296" s="6"/>
      <c r="C296" s="6"/>
      <c r="D296" s="8"/>
      <c r="E296" s="9"/>
      <c r="F296" s="9"/>
      <c r="G296" s="7"/>
      <c r="H296" s="36"/>
      <c r="I296" s="37"/>
      <c r="J296" s="6"/>
      <c r="K296" s="6"/>
      <c r="L296" s="6"/>
    </row>
    <row r="297" spans="2:12" ht="12.75">
      <c r="B297" s="6"/>
      <c r="C297" s="6"/>
      <c r="D297" s="8"/>
      <c r="E297" s="9"/>
      <c r="F297" s="9"/>
      <c r="G297" s="7"/>
      <c r="H297" s="36"/>
      <c r="I297" s="37"/>
      <c r="J297" s="6"/>
      <c r="K297" s="6"/>
      <c r="L297" s="6"/>
    </row>
    <row r="298" spans="2:12" ht="12.75">
      <c r="B298" s="6"/>
      <c r="C298" s="6"/>
      <c r="D298" s="8"/>
      <c r="E298" s="9"/>
      <c r="F298" s="9"/>
      <c r="G298" s="7"/>
      <c r="H298" s="36"/>
      <c r="I298" s="37"/>
      <c r="J298" s="6"/>
      <c r="K298" s="6"/>
      <c r="L298" s="6"/>
    </row>
    <row r="299" spans="2:12" ht="12.75">
      <c r="B299" s="6"/>
      <c r="C299" s="6"/>
      <c r="D299" s="8"/>
      <c r="E299" s="9"/>
      <c r="F299" s="9"/>
      <c r="G299" s="7"/>
      <c r="H299" s="36"/>
      <c r="I299" s="37"/>
      <c r="J299" s="6"/>
      <c r="K299" s="6"/>
      <c r="L299" s="6"/>
    </row>
    <row r="300" spans="2:12" ht="12.75">
      <c r="B300" s="6"/>
      <c r="C300" s="6"/>
      <c r="D300" s="8"/>
      <c r="E300" s="9"/>
      <c r="F300" s="9"/>
      <c r="G300" s="7"/>
      <c r="H300" s="36"/>
      <c r="I300" s="37"/>
      <c r="J300" s="6"/>
      <c r="K300" s="6"/>
      <c r="L300" s="6"/>
    </row>
    <row r="301" spans="2:12" ht="12.75">
      <c r="B301" s="6"/>
      <c r="C301" s="6"/>
      <c r="D301" s="8"/>
      <c r="E301" s="9"/>
      <c r="F301" s="9"/>
      <c r="G301" s="7"/>
      <c r="H301" s="36"/>
      <c r="I301" s="37"/>
      <c r="J301" s="6"/>
      <c r="K301" s="6"/>
      <c r="L301" s="6"/>
    </row>
    <row r="302" spans="2:12" ht="12.75">
      <c r="B302" s="6"/>
      <c r="C302" s="6"/>
      <c r="D302" s="8"/>
      <c r="E302" s="9"/>
      <c r="F302" s="9"/>
      <c r="G302" s="7"/>
      <c r="H302" s="36"/>
      <c r="I302" s="37"/>
      <c r="J302" s="6"/>
      <c r="K302" s="6"/>
      <c r="L302" s="6"/>
    </row>
    <row r="303" spans="2:12" ht="12.75">
      <c r="B303" s="6"/>
      <c r="C303" s="6"/>
      <c r="D303" s="8"/>
      <c r="E303" s="9"/>
      <c r="F303" s="9"/>
      <c r="G303" s="7"/>
      <c r="H303" s="36"/>
      <c r="I303" s="37"/>
      <c r="J303" s="6"/>
      <c r="K303" s="6"/>
      <c r="L303" s="6"/>
    </row>
    <row r="304" spans="2:12" ht="12.75">
      <c r="B304" s="6"/>
      <c r="C304" s="6"/>
      <c r="D304" s="8"/>
      <c r="E304" s="9"/>
      <c r="F304" s="9"/>
      <c r="G304" s="7"/>
      <c r="H304" s="36"/>
      <c r="I304" s="37"/>
      <c r="J304" s="6"/>
      <c r="K304" s="6"/>
      <c r="L304" s="6"/>
    </row>
    <row r="305" spans="2:12" ht="12.75">
      <c r="B305" s="6"/>
      <c r="C305" s="6"/>
      <c r="D305" s="8"/>
      <c r="E305" s="9"/>
      <c r="F305" s="9"/>
      <c r="G305" s="7"/>
      <c r="H305" s="36"/>
      <c r="I305" s="37"/>
      <c r="J305" s="6"/>
      <c r="K305" s="6"/>
      <c r="L305" s="6"/>
    </row>
    <row r="306" spans="2:12" ht="12.75">
      <c r="B306" s="6"/>
      <c r="C306" s="6"/>
      <c r="D306" s="8"/>
      <c r="E306" s="9"/>
      <c r="F306" s="9"/>
      <c r="G306" s="7"/>
      <c r="H306" s="36"/>
      <c r="I306" s="37"/>
      <c r="J306" s="6"/>
      <c r="K306" s="6"/>
      <c r="L306" s="6"/>
    </row>
    <row r="307" spans="2:12" ht="12.75">
      <c r="B307" s="6"/>
      <c r="C307" s="6"/>
      <c r="D307" s="8"/>
      <c r="E307" s="9"/>
      <c r="F307" s="9"/>
      <c r="G307" s="7"/>
      <c r="H307" s="36"/>
      <c r="I307" s="37"/>
      <c r="J307" s="6"/>
      <c r="K307" s="6"/>
      <c r="L307" s="6"/>
    </row>
    <row r="308" spans="2:12" ht="12.75">
      <c r="B308" s="6"/>
      <c r="C308" s="6"/>
      <c r="D308" s="8"/>
      <c r="E308" s="9"/>
      <c r="F308" s="9"/>
      <c r="G308" s="7"/>
      <c r="H308" s="36"/>
      <c r="I308" s="37"/>
      <c r="J308" s="6"/>
      <c r="K308" s="6"/>
      <c r="L308" s="6"/>
    </row>
    <row r="309" spans="2:12" ht="12.75">
      <c r="B309" s="6"/>
      <c r="C309" s="6"/>
      <c r="D309" s="8"/>
      <c r="E309" s="9"/>
      <c r="F309" s="9"/>
      <c r="G309" s="7"/>
      <c r="H309" s="36"/>
      <c r="I309" s="37"/>
      <c r="J309" s="6"/>
      <c r="K309" s="6"/>
      <c r="L309" s="6"/>
    </row>
    <row r="310" spans="2:12" ht="12.75">
      <c r="B310" s="6"/>
      <c r="C310" s="6"/>
      <c r="D310" s="8"/>
      <c r="E310" s="9"/>
      <c r="F310" s="9"/>
      <c r="G310" s="7"/>
      <c r="H310" s="36"/>
      <c r="I310" s="37"/>
      <c r="J310" s="6"/>
      <c r="K310" s="6"/>
      <c r="L310" s="6"/>
    </row>
    <row r="311" spans="2:12" ht="12.75">
      <c r="B311" s="6"/>
      <c r="C311" s="6"/>
      <c r="D311" s="8"/>
      <c r="E311" s="9"/>
      <c r="F311" s="9"/>
      <c r="G311" s="7"/>
      <c r="H311" s="36"/>
      <c r="I311" s="37"/>
      <c r="J311" s="6"/>
      <c r="K311" s="6"/>
      <c r="L311" s="6"/>
    </row>
    <row r="312" spans="2:12" ht="12.75">
      <c r="B312" s="6"/>
      <c r="C312" s="6"/>
      <c r="D312" s="8"/>
      <c r="E312" s="9"/>
      <c r="F312" s="9"/>
      <c r="G312" s="7"/>
      <c r="H312" s="36"/>
      <c r="I312" s="37"/>
      <c r="J312" s="6"/>
      <c r="K312" s="6"/>
      <c r="L312" s="6"/>
    </row>
    <row r="313" spans="2:12" ht="12.75">
      <c r="B313" s="6"/>
      <c r="C313" s="6"/>
      <c r="D313" s="8"/>
      <c r="E313" s="9"/>
      <c r="F313" s="9"/>
      <c r="G313" s="7"/>
      <c r="H313" s="36"/>
      <c r="I313" s="37"/>
      <c r="J313" s="6"/>
      <c r="K313" s="6"/>
      <c r="L313" s="6"/>
    </row>
    <row r="314" spans="2:12" ht="12.75">
      <c r="B314" s="6"/>
      <c r="C314" s="6"/>
      <c r="D314" s="8"/>
      <c r="E314" s="9"/>
      <c r="F314" s="9"/>
      <c r="G314" s="7"/>
      <c r="H314" s="36"/>
      <c r="I314" s="37"/>
      <c r="J314" s="6"/>
      <c r="K314" s="6"/>
      <c r="L314" s="6"/>
    </row>
    <row r="315" spans="2:12" ht="12.75">
      <c r="B315" s="6"/>
      <c r="C315" s="6"/>
      <c r="D315" s="8"/>
      <c r="E315" s="9"/>
      <c r="F315" s="9"/>
      <c r="G315" s="7"/>
      <c r="H315" s="36"/>
      <c r="I315" s="37"/>
      <c r="J315" s="6"/>
      <c r="K315" s="6"/>
      <c r="L315" s="6"/>
    </row>
    <row r="316" spans="2:12" ht="12.75">
      <c r="B316" s="6"/>
      <c r="C316" s="6"/>
      <c r="D316" s="8"/>
      <c r="E316" s="9"/>
      <c r="F316" s="9"/>
      <c r="G316" s="7"/>
      <c r="H316" s="36"/>
      <c r="I316" s="37"/>
      <c r="J316" s="6"/>
      <c r="K316" s="6"/>
      <c r="L316" s="6"/>
    </row>
    <row r="317" spans="2:12" ht="12.75">
      <c r="B317" s="6"/>
      <c r="C317" s="6"/>
      <c r="D317" s="8"/>
      <c r="E317" s="9"/>
      <c r="F317" s="9"/>
      <c r="G317" s="7"/>
      <c r="H317" s="36"/>
      <c r="I317" s="37"/>
      <c r="J317" s="6"/>
      <c r="K317" s="6"/>
      <c r="L317" s="6"/>
    </row>
    <row r="318" spans="2:12" ht="12.75">
      <c r="B318" s="6"/>
      <c r="C318" s="6"/>
      <c r="D318" s="8"/>
      <c r="E318" s="9"/>
      <c r="F318" s="9"/>
      <c r="G318" s="7"/>
      <c r="H318" s="36"/>
      <c r="I318" s="37"/>
      <c r="J318" s="6"/>
      <c r="K318" s="6"/>
      <c r="L318" s="6"/>
    </row>
    <row r="319" spans="2:12" ht="12.75">
      <c r="B319" s="6"/>
      <c r="C319" s="6"/>
      <c r="D319" s="8"/>
      <c r="E319" s="9"/>
      <c r="F319" s="9"/>
      <c r="G319" s="7"/>
      <c r="H319" s="36"/>
      <c r="I319" s="37"/>
      <c r="J319" s="6"/>
      <c r="K319" s="6"/>
      <c r="L319" s="6"/>
    </row>
    <row r="320" spans="2:12" ht="12.75">
      <c r="B320" s="6"/>
      <c r="C320" s="6"/>
      <c r="D320" s="8"/>
      <c r="E320" s="9"/>
      <c r="F320" s="9"/>
      <c r="G320" s="7"/>
      <c r="H320" s="36"/>
      <c r="I320" s="37"/>
      <c r="J320" s="6"/>
      <c r="K320" s="6"/>
      <c r="L320" s="6"/>
    </row>
    <row r="321" spans="2:12" ht="12.75">
      <c r="B321" s="6"/>
      <c r="C321" s="6"/>
      <c r="D321" s="8"/>
      <c r="E321" s="9"/>
      <c r="F321" s="9"/>
      <c r="G321" s="7"/>
      <c r="H321" s="36"/>
      <c r="I321" s="37"/>
      <c r="J321" s="6"/>
      <c r="K321" s="6"/>
      <c r="L321" s="6"/>
    </row>
    <row r="322" spans="2:12" ht="12.75">
      <c r="B322" s="6"/>
      <c r="C322" s="6"/>
      <c r="D322" s="8"/>
      <c r="E322" s="9"/>
      <c r="F322" s="9"/>
      <c r="G322" s="7"/>
      <c r="H322" s="36"/>
      <c r="I322" s="37"/>
      <c r="J322" s="6"/>
      <c r="K322" s="6"/>
      <c r="L322" s="6"/>
    </row>
    <row r="323" spans="2:12" ht="12.75">
      <c r="B323" s="6"/>
      <c r="C323" s="6"/>
      <c r="D323" s="8"/>
      <c r="E323" s="9"/>
      <c r="F323" s="9"/>
      <c r="G323" s="7"/>
      <c r="H323" s="36"/>
      <c r="I323" s="37"/>
      <c r="J323" s="6"/>
      <c r="K323" s="6"/>
      <c r="L323" s="6"/>
    </row>
    <row r="324" spans="2:12" ht="12.75">
      <c r="B324" s="6"/>
      <c r="C324" s="6"/>
      <c r="D324" s="8"/>
      <c r="E324" s="9"/>
      <c r="F324" s="9"/>
      <c r="G324" s="7"/>
      <c r="H324" s="36"/>
      <c r="I324" s="37"/>
      <c r="J324" s="6"/>
      <c r="K324" s="6"/>
      <c r="L324" s="6"/>
    </row>
    <row r="325" spans="2:12" ht="12.75">
      <c r="B325" s="6"/>
      <c r="C325" s="6"/>
      <c r="D325" s="8"/>
      <c r="E325" s="9"/>
      <c r="F325" s="9"/>
      <c r="G325" s="7"/>
      <c r="H325" s="36"/>
      <c r="I325" s="37"/>
      <c r="J325" s="6"/>
      <c r="K325" s="6"/>
      <c r="L325" s="6"/>
    </row>
    <row r="326" spans="2:12" ht="12.75">
      <c r="B326" s="6"/>
      <c r="C326" s="6"/>
      <c r="D326" s="8"/>
      <c r="E326" s="9"/>
      <c r="F326" s="9"/>
      <c r="G326" s="7"/>
      <c r="H326" s="36"/>
      <c r="I326" s="37"/>
      <c r="J326" s="6"/>
      <c r="K326" s="6"/>
      <c r="L326" s="6"/>
    </row>
    <row r="327" spans="2:12" ht="12.75">
      <c r="B327" s="6"/>
      <c r="C327" s="6"/>
      <c r="D327" s="8"/>
      <c r="E327" s="9"/>
      <c r="F327" s="9"/>
      <c r="G327" s="7"/>
      <c r="H327" s="36"/>
      <c r="I327" s="37"/>
      <c r="J327" s="6"/>
      <c r="K327" s="6"/>
      <c r="L327" s="6"/>
    </row>
    <row r="328" spans="2:12" ht="12.75">
      <c r="B328" s="6"/>
      <c r="C328" s="6"/>
      <c r="D328" s="8"/>
      <c r="E328" s="9"/>
      <c r="F328" s="9"/>
      <c r="G328" s="7"/>
      <c r="H328" s="36"/>
      <c r="I328" s="37"/>
      <c r="J328" s="6"/>
      <c r="K328" s="6"/>
      <c r="L328" s="6"/>
    </row>
    <row r="329" spans="2:12" ht="12.75">
      <c r="B329" s="6"/>
      <c r="C329" s="6"/>
      <c r="D329" s="8"/>
      <c r="E329" s="9"/>
      <c r="F329" s="9"/>
      <c r="G329" s="7"/>
      <c r="H329" s="36"/>
      <c r="I329" s="37"/>
      <c r="J329" s="6"/>
      <c r="K329" s="6"/>
      <c r="L329" s="6"/>
    </row>
    <row r="330" spans="2:12" ht="12.75">
      <c r="B330" s="6"/>
      <c r="C330" s="6"/>
      <c r="D330" s="8"/>
      <c r="E330" s="9"/>
      <c r="F330" s="9"/>
      <c r="G330" s="7"/>
      <c r="H330" s="36"/>
      <c r="I330" s="37"/>
      <c r="J330" s="6"/>
      <c r="K330" s="6"/>
      <c r="L330" s="6"/>
    </row>
    <row r="331" spans="2:12" ht="12.75">
      <c r="B331" s="6"/>
      <c r="C331" s="6"/>
      <c r="D331" s="8"/>
      <c r="E331" s="9"/>
      <c r="F331" s="9"/>
      <c r="G331" s="7"/>
      <c r="H331" s="36"/>
      <c r="I331" s="37"/>
      <c r="J331" s="6"/>
      <c r="K331" s="6"/>
      <c r="L331" s="6"/>
    </row>
    <row r="332" spans="2:12" ht="12.75">
      <c r="B332" s="6"/>
      <c r="C332" s="6"/>
      <c r="D332" s="8"/>
      <c r="E332" s="9"/>
      <c r="F332" s="9"/>
      <c r="G332" s="7"/>
      <c r="H332" s="36"/>
      <c r="I332" s="37"/>
      <c r="J332" s="6"/>
      <c r="K332" s="6"/>
      <c r="L332" s="6"/>
    </row>
    <row r="333" spans="2:12" ht="12.75">
      <c r="B333" s="6"/>
      <c r="C333" s="6"/>
      <c r="D333" s="8"/>
      <c r="E333" s="9"/>
      <c r="F333" s="9"/>
      <c r="G333" s="7"/>
      <c r="H333" s="36"/>
      <c r="I333" s="37"/>
      <c r="J333" s="6"/>
      <c r="K333" s="6"/>
      <c r="L333" s="6"/>
    </row>
    <row r="334" spans="2:12" ht="12.75">
      <c r="B334" s="6"/>
      <c r="C334" s="6"/>
      <c r="D334" s="8"/>
      <c r="E334" s="9"/>
      <c r="F334" s="9"/>
      <c r="G334" s="7"/>
      <c r="H334" s="36"/>
      <c r="I334" s="37"/>
      <c r="J334" s="6"/>
      <c r="K334" s="6"/>
      <c r="L334" s="6"/>
    </row>
    <row r="335" spans="2:12" ht="12.75">
      <c r="B335" s="6"/>
      <c r="C335" s="6"/>
      <c r="D335" s="8"/>
      <c r="E335" s="9"/>
      <c r="F335" s="9"/>
      <c r="G335" s="7"/>
      <c r="H335" s="36"/>
      <c r="I335" s="37"/>
      <c r="J335" s="6"/>
      <c r="K335" s="6"/>
      <c r="L335" s="6"/>
    </row>
    <row r="336" spans="2:12" ht="12.75">
      <c r="B336" s="6"/>
      <c r="C336" s="6"/>
      <c r="D336" s="8"/>
      <c r="E336" s="9"/>
      <c r="F336" s="9"/>
      <c r="G336" s="7"/>
      <c r="H336" s="36"/>
      <c r="I336" s="37"/>
      <c r="J336" s="6"/>
      <c r="K336" s="6"/>
      <c r="L336" s="6"/>
    </row>
    <row r="337" spans="2:12" ht="12.75">
      <c r="B337" s="6"/>
      <c r="C337" s="6"/>
      <c r="D337" s="8"/>
      <c r="E337" s="9"/>
      <c r="F337" s="9"/>
      <c r="G337" s="7"/>
      <c r="H337" s="36"/>
      <c r="I337" s="37"/>
      <c r="J337" s="6"/>
      <c r="K337" s="6"/>
      <c r="L337" s="6"/>
    </row>
    <row r="338" spans="2:12" ht="12.75">
      <c r="B338" s="6"/>
      <c r="C338" s="6"/>
      <c r="D338" s="8"/>
      <c r="E338" s="9"/>
      <c r="F338" s="9"/>
      <c r="G338" s="7"/>
      <c r="H338" s="36"/>
      <c r="I338" s="37"/>
      <c r="J338" s="6"/>
      <c r="K338" s="6"/>
      <c r="L338" s="6"/>
    </row>
    <row r="339" spans="2:12" ht="12.75">
      <c r="B339" s="6"/>
      <c r="C339" s="6"/>
      <c r="D339" s="8"/>
      <c r="E339" s="9"/>
      <c r="F339" s="9"/>
      <c r="G339" s="7"/>
      <c r="H339" s="36"/>
      <c r="I339" s="37"/>
      <c r="J339" s="6"/>
      <c r="K339" s="6"/>
      <c r="L339" s="6"/>
    </row>
    <row r="340" spans="2:12" ht="12.75">
      <c r="B340" s="6"/>
      <c r="C340" s="6"/>
      <c r="D340" s="8"/>
      <c r="E340" s="9"/>
      <c r="F340" s="9"/>
      <c r="G340" s="7"/>
      <c r="H340" s="36"/>
      <c r="I340" s="37"/>
      <c r="J340" s="6"/>
      <c r="K340" s="6"/>
      <c r="L340" s="6"/>
    </row>
    <row r="341" spans="2:12" ht="12.75">
      <c r="B341" s="6"/>
      <c r="C341" s="6"/>
      <c r="D341" s="8"/>
      <c r="E341" s="9"/>
      <c r="F341" s="9"/>
      <c r="G341" s="7"/>
      <c r="H341" s="36"/>
      <c r="I341" s="37"/>
      <c r="J341" s="6"/>
      <c r="K341" s="6"/>
      <c r="L341" s="6"/>
    </row>
    <row r="342" spans="2:12" ht="12.75">
      <c r="B342" s="6"/>
      <c r="C342" s="6"/>
      <c r="D342" s="8"/>
      <c r="E342" s="9"/>
      <c r="F342" s="9"/>
      <c r="G342" s="7"/>
      <c r="H342" s="36"/>
      <c r="I342" s="37"/>
      <c r="J342" s="6"/>
      <c r="K342" s="6"/>
      <c r="L342" s="6"/>
    </row>
    <row r="343" spans="2:12" ht="12.75">
      <c r="B343" s="6"/>
      <c r="C343" s="6"/>
      <c r="D343" s="8"/>
      <c r="E343" s="9"/>
      <c r="F343" s="9"/>
      <c r="G343" s="7"/>
      <c r="H343" s="36"/>
      <c r="I343" s="37"/>
      <c r="J343" s="6"/>
      <c r="K343" s="6"/>
      <c r="L343" s="6"/>
    </row>
    <row r="344" spans="2:12" ht="12.75">
      <c r="B344" s="6"/>
      <c r="C344" s="6"/>
      <c r="D344" s="8"/>
      <c r="E344" s="9"/>
      <c r="F344" s="9"/>
      <c r="G344" s="7"/>
      <c r="H344" s="36"/>
      <c r="I344" s="37"/>
      <c r="J344" s="6"/>
      <c r="K344" s="6"/>
      <c r="L344" s="6"/>
    </row>
    <row r="345" spans="2:12" ht="12.75">
      <c r="B345" s="6"/>
      <c r="C345" s="6"/>
      <c r="D345" s="8"/>
      <c r="E345" s="9"/>
      <c r="F345" s="9"/>
      <c r="G345" s="7"/>
      <c r="H345" s="36"/>
      <c r="I345" s="37"/>
      <c r="J345" s="6"/>
      <c r="K345" s="6"/>
      <c r="L345" s="6"/>
    </row>
    <row r="346" spans="2:12" ht="12.75">
      <c r="B346" s="6"/>
      <c r="C346" s="6"/>
      <c r="D346" s="8"/>
      <c r="E346" s="9"/>
      <c r="F346" s="9"/>
      <c r="G346" s="7"/>
      <c r="H346" s="36"/>
      <c r="I346" s="37"/>
      <c r="J346" s="6"/>
      <c r="K346" s="6"/>
      <c r="L346" s="6"/>
    </row>
    <row r="347" spans="2:12" ht="12.75">
      <c r="B347" s="6"/>
      <c r="C347" s="6"/>
      <c r="D347" s="8"/>
      <c r="E347" s="9"/>
      <c r="F347" s="9"/>
      <c r="G347" s="7"/>
      <c r="H347" s="36"/>
      <c r="I347" s="37"/>
      <c r="J347" s="6"/>
      <c r="K347" s="6"/>
      <c r="L347" s="6"/>
    </row>
    <row r="348" spans="2:12" ht="12.75">
      <c r="B348" s="6"/>
      <c r="C348" s="6"/>
      <c r="D348" s="8"/>
      <c r="E348" s="9"/>
      <c r="F348" s="9"/>
      <c r="G348" s="7"/>
      <c r="H348" s="36"/>
      <c r="I348" s="37"/>
      <c r="J348" s="6"/>
      <c r="K348" s="6"/>
      <c r="L348" s="6"/>
    </row>
    <row r="349" spans="2:12" ht="12.75">
      <c r="B349" s="6"/>
      <c r="C349" s="6"/>
      <c r="D349" s="8"/>
      <c r="E349" s="9"/>
      <c r="F349" s="9"/>
      <c r="G349" s="7"/>
      <c r="H349" s="36"/>
      <c r="I349" s="37"/>
      <c r="J349" s="6"/>
      <c r="K349" s="6"/>
      <c r="L349" s="6"/>
    </row>
    <row r="350" spans="2:12" ht="12.75">
      <c r="B350" s="6"/>
      <c r="C350" s="6"/>
      <c r="D350" s="8"/>
      <c r="E350" s="9"/>
      <c r="F350" s="9"/>
      <c r="G350" s="7"/>
      <c r="H350" s="36"/>
      <c r="I350" s="37"/>
      <c r="J350" s="6"/>
      <c r="K350" s="6"/>
      <c r="L350" s="6"/>
    </row>
    <row r="351" spans="2:12" ht="12.75">
      <c r="B351" s="6"/>
      <c r="C351" s="6"/>
      <c r="D351" s="8"/>
      <c r="E351" s="9"/>
      <c r="F351" s="9"/>
      <c r="G351" s="7"/>
      <c r="H351" s="36"/>
      <c r="I351" s="37"/>
      <c r="J351" s="6"/>
      <c r="K351" s="6"/>
      <c r="L351" s="6"/>
    </row>
    <row r="352" spans="2:12" ht="12.75">
      <c r="B352" s="6"/>
      <c r="C352" s="6"/>
      <c r="D352" s="8"/>
      <c r="E352" s="9"/>
      <c r="F352" s="9"/>
      <c r="G352" s="7"/>
      <c r="H352" s="36"/>
      <c r="I352" s="37"/>
      <c r="J352" s="6"/>
      <c r="K352" s="6"/>
      <c r="L352" s="6"/>
    </row>
    <row r="353" spans="2:12" ht="12.75">
      <c r="B353" s="6"/>
      <c r="C353" s="6"/>
      <c r="D353" s="8"/>
      <c r="E353" s="9"/>
      <c r="F353" s="9"/>
      <c r="G353" s="7"/>
      <c r="H353" s="36"/>
      <c r="I353" s="37"/>
      <c r="J353" s="6"/>
      <c r="K353" s="6"/>
      <c r="L353" s="6"/>
    </row>
    <row r="354" spans="2:12" ht="12.75">
      <c r="B354" s="6"/>
      <c r="C354" s="6"/>
      <c r="D354" s="8"/>
      <c r="E354" s="9"/>
      <c r="F354" s="9"/>
      <c r="G354" s="7"/>
      <c r="H354" s="36"/>
      <c r="I354" s="37"/>
      <c r="J354" s="6"/>
      <c r="K354" s="6"/>
      <c r="L354" s="6"/>
    </row>
    <row r="355" spans="2:12" ht="12.75">
      <c r="B355" s="6"/>
      <c r="C355" s="6"/>
      <c r="D355" s="8"/>
      <c r="E355" s="9"/>
      <c r="F355" s="9"/>
      <c r="G355" s="7"/>
      <c r="H355" s="36"/>
      <c r="I355" s="37"/>
      <c r="J355" s="6"/>
      <c r="K355" s="6"/>
      <c r="L355" s="6"/>
    </row>
    <row r="356" spans="2:12" ht="12.75">
      <c r="B356" s="6"/>
      <c r="C356" s="6"/>
      <c r="D356" s="8"/>
      <c r="E356" s="9"/>
      <c r="F356" s="9"/>
      <c r="G356" s="7"/>
      <c r="H356" s="36"/>
      <c r="I356" s="37"/>
      <c r="J356" s="6"/>
      <c r="K356" s="6"/>
      <c r="L356" s="6"/>
    </row>
    <row r="357" spans="2:12" ht="12.75">
      <c r="B357" s="6"/>
      <c r="C357" s="6"/>
      <c r="D357" s="8"/>
      <c r="E357" s="9"/>
      <c r="F357" s="9"/>
      <c r="G357" s="7"/>
      <c r="H357" s="36"/>
      <c r="I357" s="37"/>
      <c r="J357" s="6"/>
      <c r="K357" s="6"/>
      <c r="L357" s="6"/>
    </row>
    <row r="358" spans="2:12" ht="12.75">
      <c r="B358" s="6"/>
      <c r="C358" s="6"/>
      <c r="D358" s="8"/>
      <c r="E358" s="9"/>
      <c r="F358" s="9"/>
      <c r="G358" s="7"/>
      <c r="H358" s="36"/>
      <c r="I358" s="37"/>
      <c r="J358" s="6"/>
      <c r="K358" s="6"/>
      <c r="L358" s="6"/>
    </row>
    <row r="359" spans="2:12" ht="12.75">
      <c r="B359" s="6"/>
      <c r="C359" s="6"/>
      <c r="D359" s="8"/>
      <c r="E359" s="9"/>
      <c r="F359" s="9"/>
      <c r="G359" s="7"/>
      <c r="H359" s="36"/>
      <c r="I359" s="37"/>
      <c r="J359" s="6"/>
      <c r="K359" s="6"/>
      <c r="L359" s="6"/>
    </row>
    <row r="360" spans="2:12" ht="12.75">
      <c r="B360" s="6"/>
      <c r="C360" s="6"/>
      <c r="D360" s="8"/>
      <c r="E360" s="9"/>
      <c r="F360" s="9"/>
      <c r="G360" s="7"/>
      <c r="H360" s="36"/>
      <c r="I360" s="37"/>
      <c r="J360" s="6"/>
      <c r="K360" s="6"/>
      <c r="L360" s="6"/>
    </row>
    <row r="361" spans="2:12" ht="12.75">
      <c r="B361" s="6"/>
      <c r="C361" s="6"/>
      <c r="D361" s="8"/>
      <c r="E361" s="9"/>
      <c r="F361" s="9"/>
      <c r="G361" s="7"/>
      <c r="H361" s="36"/>
      <c r="I361" s="37"/>
      <c r="J361" s="6"/>
      <c r="K361" s="6"/>
      <c r="L361" s="6"/>
    </row>
    <row r="362" spans="2:12" ht="12.75">
      <c r="B362" s="6"/>
      <c r="C362" s="6"/>
      <c r="D362" s="8"/>
      <c r="E362" s="9"/>
      <c r="F362" s="9"/>
      <c r="G362" s="7"/>
      <c r="H362" s="36"/>
      <c r="I362" s="37"/>
      <c r="J362" s="6"/>
      <c r="K362" s="6"/>
      <c r="L362" s="6"/>
    </row>
    <row r="363" spans="2:12" ht="12.75">
      <c r="B363" s="6"/>
      <c r="C363" s="6"/>
      <c r="D363" s="8"/>
      <c r="E363" s="9"/>
      <c r="F363" s="9"/>
      <c r="G363" s="7"/>
      <c r="H363" s="36"/>
      <c r="I363" s="37"/>
      <c r="J363" s="6"/>
      <c r="K363" s="6"/>
      <c r="L363" s="6"/>
    </row>
    <row r="364" spans="2:12" ht="12.75">
      <c r="B364" s="6"/>
      <c r="C364" s="6"/>
      <c r="D364" s="8"/>
      <c r="E364" s="9"/>
      <c r="F364" s="9"/>
      <c r="G364" s="7"/>
      <c r="H364" s="36"/>
      <c r="I364" s="37"/>
      <c r="J364" s="6"/>
      <c r="K364" s="6"/>
      <c r="L364" s="6"/>
    </row>
    <row r="365" spans="2:12" ht="12.75">
      <c r="B365" s="6"/>
      <c r="C365" s="6"/>
      <c r="D365" s="8"/>
      <c r="E365" s="9"/>
      <c r="F365" s="9"/>
      <c r="G365" s="7"/>
      <c r="H365" s="36"/>
      <c r="I365" s="37"/>
      <c r="J365" s="6"/>
      <c r="K365" s="6"/>
      <c r="L365" s="6"/>
    </row>
    <row r="366" spans="2:12" ht="12.75">
      <c r="B366" s="6"/>
      <c r="C366" s="6"/>
      <c r="D366" s="8"/>
      <c r="E366" s="9"/>
      <c r="F366" s="9"/>
      <c r="G366" s="7"/>
      <c r="H366" s="36"/>
      <c r="I366" s="37"/>
      <c r="J366" s="6"/>
      <c r="K366" s="6"/>
      <c r="L366" s="6"/>
    </row>
    <row r="367" spans="2:12" ht="12.75">
      <c r="B367" s="6"/>
      <c r="C367" s="6"/>
      <c r="D367" s="8"/>
      <c r="E367" s="9"/>
      <c r="F367" s="9"/>
      <c r="G367" s="7"/>
      <c r="H367" s="36"/>
      <c r="I367" s="37"/>
      <c r="J367" s="6"/>
      <c r="K367" s="6"/>
      <c r="L367" s="6"/>
    </row>
    <row r="368" spans="2:12" ht="12.75">
      <c r="B368" s="6"/>
      <c r="C368" s="6"/>
      <c r="D368" s="8"/>
      <c r="E368" s="9"/>
      <c r="F368" s="9"/>
      <c r="G368" s="7"/>
      <c r="H368" s="36"/>
      <c r="I368" s="37"/>
      <c r="J368" s="6"/>
      <c r="K368" s="6"/>
      <c r="L368" s="6"/>
    </row>
    <row r="369" spans="2:12" ht="12.75">
      <c r="B369" s="6"/>
      <c r="C369" s="6"/>
      <c r="D369" s="8"/>
      <c r="E369" s="9"/>
      <c r="F369" s="9"/>
      <c r="G369" s="7"/>
      <c r="H369" s="36"/>
      <c r="I369" s="37"/>
      <c r="J369" s="6"/>
      <c r="K369" s="6"/>
      <c r="L369" s="6"/>
    </row>
    <row r="370" spans="2:12" ht="12.75">
      <c r="B370" s="6"/>
      <c r="C370" s="6"/>
      <c r="D370" s="8"/>
      <c r="E370" s="9"/>
      <c r="F370" s="9"/>
      <c r="G370" s="7"/>
      <c r="H370" s="36"/>
      <c r="I370" s="37"/>
      <c r="J370" s="6"/>
      <c r="K370" s="6"/>
      <c r="L370" s="6"/>
    </row>
    <row r="371" spans="2:12" ht="12.75">
      <c r="B371" s="6"/>
      <c r="C371" s="6"/>
      <c r="D371" s="8"/>
      <c r="E371" s="9"/>
      <c r="F371" s="9"/>
      <c r="G371" s="7"/>
      <c r="H371" s="36"/>
      <c r="I371" s="37"/>
      <c r="J371" s="6"/>
      <c r="K371" s="6"/>
      <c r="L371" s="6"/>
    </row>
    <row r="372" spans="2:12" ht="12.75">
      <c r="B372" s="6"/>
      <c r="C372" s="6"/>
      <c r="D372" s="8"/>
      <c r="E372" s="9"/>
      <c r="F372" s="9"/>
      <c r="G372" s="7"/>
      <c r="H372" s="36"/>
      <c r="I372" s="37"/>
      <c r="J372" s="6"/>
      <c r="K372" s="6"/>
      <c r="L372" s="6"/>
    </row>
    <row r="373" spans="2:12" ht="12.75">
      <c r="B373" s="6"/>
      <c r="C373" s="6"/>
      <c r="D373" s="8"/>
      <c r="E373" s="9"/>
      <c r="F373" s="9"/>
      <c r="G373" s="7"/>
      <c r="H373" s="36"/>
      <c r="I373" s="37"/>
      <c r="J373" s="6"/>
      <c r="K373" s="6"/>
      <c r="L373" s="6"/>
    </row>
    <row r="374" spans="2:12" ht="12.75">
      <c r="B374" s="6"/>
      <c r="C374" s="6"/>
      <c r="D374" s="8"/>
      <c r="E374" s="9"/>
      <c r="F374" s="9"/>
      <c r="G374" s="7"/>
      <c r="H374" s="36"/>
      <c r="I374" s="37"/>
      <c r="J374" s="6"/>
      <c r="K374" s="6"/>
      <c r="L374" s="6"/>
    </row>
    <row r="375" spans="2:12" ht="12.75">
      <c r="B375" s="6"/>
      <c r="C375" s="6"/>
      <c r="D375" s="8"/>
      <c r="E375" s="9"/>
      <c r="F375" s="9"/>
      <c r="G375" s="7"/>
      <c r="H375" s="36"/>
      <c r="I375" s="37"/>
      <c r="J375" s="6"/>
      <c r="K375" s="6"/>
      <c r="L375" s="6"/>
    </row>
    <row r="376" spans="2:12" ht="12.75">
      <c r="B376" s="6"/>
      <c r="C376" s="6"/>
      <c r="D376" s="8"/>
      <c r="E376" s="9"/>
      <c r="F376" s="9"/>
      <c r="G376" s="7"/>
      <c r="H376" s="36"/>
      <c r="I376" s="37"/>
      <c r="J376" s="6"/>
      <c r="K376" s="6"/>
      <c r="L376" s="6"/>
    </row>
    <row r="377" spans="2:12" ht="12.75">
      <c r="B377" s="6"/>
      <c r="C377" s="6"/>
      <c r="D377" s="8"/>
      <c r="E377" s="9"/>
      <c r="F377" s="9"/>
      <c r="G377" s="7"/>
      <c r="H377" s="36"/>
      <c r="I377" s="37"/>
      <c r="J377" s="6"/>
      <c r="K377" s="6"/>
      <c r="L377" s="6"/>
    </row>
    <row r="378" spans="2:12" ht="12.75">
      <c r="B378" s="6"/>
      <c r="C378" s="6"/>
      <c r="D378" s="8"/>
      <c r="E378" s="9"/>
      <c r="F378" s="9"/>
      <c r="G378" s="7"/>
      <c r="H378" s="36"/>
      <c r="I378" s="37"/>
      <c r="J378" s="6"/>
      <c r="K378" s="6"/>
      <c r="L378" s="6"/>
    </row>
    <row r="379" spans="2:12" ht="12.75">
      <c r="B379" s="6"/>
      <c r="C379" s="6"/>
      <c r="D379" s="8"/>
      <c r="E379" s="9"/>
      <c r="F379" s="9"/>
      <c r="G379" s="7"/>
      <c r="H379" s="36"/>
      <c r="I379" s="37"/>
      <c r="J379" s="6"/>
      <c r="K379" s="6"/>
      <c r="L379" s="6"/>
    </row>
    <row r="380" spans="2:12" ht="12.75">
      <c r="B380" s="6"/>
      <c r="C380" s="6"/>
      <c r="D380" s="8"/>
      <c r="E380" s="9"/>
      <c r="F380" s="9"/>
      <c r="G380" s="7"/>
      <c r="H380" s="36"/>
      <c r="I380" s="37"/>
      <c r="J380" s="6"/>
      <c r="K380" s="6"/>
      <c r="L380" s="6"/>
    </row>
    <row r="381" spans="2:12" ht="12.75">
      <c r="B381" s="6"/>
      <c r="C381" s="6"/>
      <c r="D381" s="8"/>
      <c r="E381" s="9"/>
      <c r="F381" s="9"/>
      <c r="G381" s="7"/>
      <c r="H381" s="36"/>
      <c r="I381" s="37"/>
      <c r="J381" s="6"/>
      <c r="K381" s="6"/>
      <c r="L381" s="6"/>
    </row>
    <row r="382" spans="2:12" ht="12.75">
      <c r="B382" s="6"/>
      <c r="C382" s="6"/>
      <c r="D382" s="8"/>
      <c r="E382" s="9"/>
      <c r="F382" s="9"/>
      <c r="G382" s="7"/>
      <c r="H382" s="36"/>
      <c r="I382" s="37"/>
      <c r="J382" s="6"/>
      <c r="K382" s="6"/>
      <c r="L382" s="6"/>
    </row>
    <row r="383" spans="2:12" ht="12.75">
      <c r="B383" s="6"/>
      <c r="C383" s="6"/>
      <c r="D383" s="8"/>
      <c r="E383" s="9"/>
      <c r="F383" s="9"/>
      <c r="G383" s="7"/>
      <c r="H383" s="36"/>
      <c r="I383" s="37"/>
      <c r="J383" s="6"/>
      <c r="K383" s="6"/>
      <c r="L383" s="6"/>
    </row>
    <row r="384" spans="2:12" ht="12.75">
      <c r="B384" s="6"/>
      <c r="C384" s="6"/>
      <c r="D384" s="8"/>
      <c r="E384" s="9"/>
      <c r="F384" s="9"/>
      <c r="G384" s="7"/>
      <c r="H384" s="36"/>
      <c r="I384" s="37"/>
      <c r="J384" s="6"/>
      <c r="K384" s="6"/>
      <c r="L384" s="6"/>
    </row>
    <row r="385" spans="2:12" ht="12.75">
      <c r="B385" s="6"/>
      <c r="C385" s="6"/>
      <c r="D385" s="8"/>
      <c r="E385" s="9"/>
      <c r="F385" s="9"/>
      <c r="G385" s="7"/>
      <c r="H385" s="36"/>
      <c r="I385" s="37"/>
      <c r="J385" s="6"/>
      <c r="K385" s="6"/>
      <c r="L385" s="6"/>
    </row>
    <row r="386" spans="2:12" ht="12.75">
      <c r="B386" s="6"/>
      <c r="C386" s="6"/>
      <c r="D386" s="8"/>
      <c r="E386" s="9"/>
      <c r="F386" s="9"/>
      <c r="G386" s="7"/>
      <c r="H386" s="36"/>
      <c r="I386" s="37"/>
      <c r="J386" s="6"/>
      <c r="K386" s="6"/>
      <c r="L386" s="6"/>
    </row>
    <row r="387" spans="2:12" ht="12.75">
      <c r="B387" s="6"/>
      <c r="C387" s="6"/>
      <c r="D387" s="8"/>
      <c r="E387" s="9"/>
      <c r="F387" s="9"/>
      <c r="G387" s="7"/>
      <c r="H387" s="36"/>
      <c r="I387" s="37"/>
      <c r="J387" s="6"/>
      <c r="K387" s="6"/>
      <c r="L387" s="6"/>
    </row>
    <row r="388" spans="2:12" ht="12.75">
      <c r="B388" s="6"/>
      <c r="C388" s="6"/>
      <c r="D388" s="8"/>
      <c r="E388" s="9"/>
      <c r="F388" s="9"/>
      <c r="G388" s="7"/>
      <c r="H388" s="36"/>
      <c r="I388" s="37"/>
      <c r="J388" s="6"/>
      <c r="K388" s="6"/>
      <c r="L388" s="6"/>
    </row>
    <row r="389" spans="2:12" ht="12.75">
      <c r="B389" s="6"/>
      <c r="C389" s="6"/>
      <c r="D389" s="8"/>
      <c r="E389" s="9"/>
      <c r="F389" s="9"/>
      <c r="G389" s="7"/>
      <c r="H389" s="36"/>
      <c r="I389" s="37"/>
      <c r="J389" s="6"/>
      <c r="K389" s="6"/>
      <c r="L389" s="6"/>
    </row>
    <row r="390" spans="2:12" ht="12.75">
      <c r="B390" s="6"/>
      <c r="C390" s="6"/>
      <c r="D390" s="8"/>
      <c r="E390" s="9"/>
      <c r="F390" s="9"/>
      <c r="G390" s="7"/>
      <c r="H390" s="36"/>
      <c r="I390" s="37"/>
      <c r="J390" s="6"/>
      <c r="K390" s="6"/>
      <c r="L390" s="6"/>
    </row>
    <row r="391" spans="2:12" ht="12.75">
      <c r="B391" s="6"/>
      <c r="C391" s="6"/>
      <c r="D391" s="8"/>
      <c r="E391" s="9"/>
      <c r="F391" s="9"/>
      <c r="G391" s="7"/>
      <c r="H391" s="36"/>
      <c r="I391" s="37"/>
      <c r="J391" s="6"/>
      <c r="K391" s="6"/>
      <c r="L391" s="6"/>
    </row>
    <row r="392" spans="2:12" ht="12.75">
      <c r="B392" s="6"/>
      <c r="C392" s="6"/>
      <c r="D392" s="8"/>
      <c r="E392" s="9"/>
      <c r="F392" s="9"/>
      <c r="G392" s="7"/>
      <c r="H392" s="36"/>
      <c r="I392" s="37"/>
      <c r="J392" s="6"/>
      <c r="K392" s="6"/>
      <c r="L392" s="6"/>
    </row>
    <row r="393" spans="2:12" ht="12.75">
      <c r="B393" s="6"/>
      <c r="C393" s="6"/>
      <c r="D393" s="8"/>
      <c r="E393" s="9"/>
      <c r="F393" s="9"/>
      <c r="G393" s="7"/>
      <c r="H393" s="36"/>
      <c r="I393" s="37"/>
      <c r="J393" s="6"/>
      <c r="K393" s="6"/>
      <c r="L393" s="6"/>
    </row>
    <row r="394" spans="2:12" ht="12.75">
      <c r="B394" s="6"/>
      <c r="C394" s="6"/>
      <c r="D394" s="8"/>
      <c r="E394" s="9"/>
      <c r="F394" s="9"/>
      <c r="G394" s="7"/>
      <c r="H394" s="36"/>
      <c r="I394" s="37"/>
      <c r="J394" s="6"/>
      <c r="K394" s="6"/>
      <c r="L394" s="6"/>
    </row>
    <row r="395" spans="2:12" ht="12.75">
      <c r="B395" s="6"/>
      <c r="C395" s="6"/>
      <c r="D395" s="8"/>
      <c r="E395" s="9"/>
      <c r="F395" s="9"/>
      <c r="G395" s="7"/>
      <c r="H395" s="36"/>
      <c r="I395" s="37"/>
      <c r="J395" s="6"/>
      <c r="K395" s="6"/>
      <c r="L395" s="6"/>
    </row>
    <row r="396" spans="2:12" ht="12.75">
      <c r="B396" s="6"/>
      <c r="C396" s="6"/>
      <c r="D396" s="8"/>
      <c r="E396" s="9"/>
      <c r="F396" s="9"/>
      <c r="G396" s="7"/>
      <c r="H396" s="36"/>
      <c r="I396" s="37"/>
      <c r="J396" s="6"/>
      <c r="K396" s="6"/>
      <c r="L396" s="6"/>
    </row>
    <row r="397" spans="2:12" ht="12.75">
      <c r="B397" s="6"/>
      <c r="C397" s="6"/>
      <c r="D397" s="8"/>
      <c r="E397" s="9"/>
      <c r="F397" s="9"/>
      <c r="G397" s="7"/>
      <c r="H397" s="36"/>
      <c r="I397" s="37"/>
      <c r="J397" s="6"/>
      <c r="K397" s="6"/>
      <c r="L397" s="6"/>
    </row>
    <row r="398" spans="2:12" ht="12.75">
      <c r="B398" s="6"/>
      <c r="C398" s="6"/>
      <c r="D398" s="8"/>
      <c r="E398" s="9"/>
      <c r="F398" s="9"/>
      <c r="G398" s="7"/>
      <c r="H398" s="36"/>
      <c r="I398" s="37"/>
      <c r="J398" s="6"/>
      <c r="K398" s="6"/>
      <c r="L398" s="6"/>
    </row>
    <row r="399" spans="2:12" ht="12.75">
      <c r="B399" s="6"/>
      <c r="C399" s="6"/>
      <c r="D399" s="8"/>
      <c r="E399" s="9"/>
      <c r="F399" s="9"/>
      <c r="G399" s="7"/>
      <c r="H399" s="36"/>
      <c r="I399" s="37"/>
      <c r="J399" s="6"/>
      <c r="K399" s="6"/>
      <c r="L399" s="6"/>
    </row>
    <row r="400" spans="2:12" ht="12.75">
      <c r="B400" s="6"/>
      <c r="C400" s="6"/>
      <c r="D400" s="8"/>
      <c r="E400" s="9"/>
      <c r="F400" s="9"/>
      <c r="G400" s="7"/>
      <c r="H400" s="36"/>
      <c r="I400" s="37"/>
      <c r="J400" s="6"/>
      <c r="K400" s="6"/>
      <c r="L400" s="6"/>
    </row>
    <row r="401" spans="2:12" ht="12.75">
      <c r="B401" s="6"/>
      <c r="C401" s="6"/>
      <c r="D401" s="8"/>
      <c r="E401" s="9"/>
      <c r="F401" s="9"/>
      <c r="G401" s="7"/>
      <c r="H401" s="36"/>
      <c r="I401" s="37"/>
      <c r="J401" s="6"/>
      <c r="K401" s="6"/>
      <c r="L401" s="6"/>
    </row>
    <row r="402" spans="2:12" ht="12.75">
      <c r="B402" s="6"/>
      <c r="C402" s="6"/>
      <c r="D402" s="8"/>
      <c r="E402" s="9"/>
      <c r="F402" s="9"/>
      <c r="G402" s="7"/>
      <c r="H402" s="36"/>
      <c r="I402" s="37"/>
      <c r="J402" s="6"/>
      <c r="K402" s="6"/>
      <c r="L402" s="6"/>
    </row>
    <row r="403" spans="2:12" ht="12.75">
      <c r="B403" s="6"/>
      <c r="C403" s="6"/>
      <c r="D403" s="8"/>
      <c r="E403" s="9"/>
      <c r="F403" s="9"/>
      <c r="G403" s="7"/>
      <c r="H403" s="36"/>
      <c r="I403" s="37"/>
      <c r="J403" s="6"/>
      <c r="K403" s="6"/>
      <c r="L403" s="6"/>
    </row>
    <row r="404" spans="2:12" ht="12.75">
      <c r="B404" s="6"/>
      <c r="C404" s="6"/>
      <c r="D404" s="8"/>
      <c r="E404" s="9"/>
      <c r="F404" s="9"/>
      <c r="G404" s="7"/>
      <c r="H404" s="36"/>
      <c r="I404" s="37"/>
      <c r="J404" s="6"/>
      <c r="K404" s="6"/>
      <c r="L404" s="6"/>
    </row>
    <row r="405" spans="2:12" ht="12.75">
      <c r="B405" s="6"/>
      <c r="C405" s="6"/>
      <c r="D405" s="8"/>
      <c r="E405" s="9"/>
      <c r="F405" s="9"/>
      <c r="G405" s="7"/>
      <c r="H405" s="36"/>
      <c r="I405" s="37"/>
      <c r="J405" s="6"/>
      <c r="K405" s="6"/>
      <c r="L405" s="6"/>
    </row>
    <row r="406" spans="2:12" ht="12.75">
      <c r="B406" s="6"/>
      <c r="C406" s="6"/>
      <c r="D406" s="8"/>
      <c r="E406" s="9"/>
      <c r="F406" s="9"/>
      <c r="G406" s="7"/>
      <c r="H406" s="36"/>
      <c r="I406" s="37"/>
      <c r="J406" s="6"/>
      <c r="K406" s="6"/>
      <c r="L406" s="6"/>
    </row>
    <row r="407" spans="2:12" ht="12.75">
      <c r="B407" s="6"/>
      <c r="C407" s="6"/>
      <c r="D407" s="8"/>
      <c r="E407" s="9"/>
      <c r="F407" s="9"/>
      <c r="G407" s="7"/>
      <c r="H407" s="36"/>
      <c r="I407" s="37"/>
      <c r="J407" s="6"/>
      <c r="K407" s="6"/>
      <c r="L407" s="6"/>
    </row>
    <row r="408" spans="2:12" ht="12.75">
      <c r="B408" s="6"/>
      <c r="C408" s="6"/>
      <c r="D408" s="8"/>
      <c r="E408" s="9"/>
      <c r="F408" s="9"/>
      <c r="G408" s="7"/>
      <c r="H408" s="36"/>
      <c r="I408" s="37"/>
      <c r="J408" s="6"/>
      <c r="K408" s="6"/>
      <c r="L408" s="6"/>
    </row>
    <row r="409" spans="2:12" ht="12.75">
      <c r="B409" s="6"/>
      <c r="C409" s="6"/>
      <c r="D409" s="8"/>
      <c r="E409" s="9"/>
      <c r="F409" s="9"/>
      <c r="G409" s="7"/>
      <c r="H409" s="36"/>
      <c r="I409" s="37"/>
      <c r="J409" s="6"/>
      <c r="K409" s="6"/>
      <c r="L409" s="6"/>
    </row>
    <row r="410" spans="2:12" ht="12.75">
      <c r="B410" s="6"/>
      <c r="C410" s="6"/>
      <c r="D410" s="8"/>
      <c r="E410" s="9"/>
      <c r="F410" s="9"/>
      <c r="G410" s="7"/>
      <c r="H410" s="36"/>
      <c r="I410" s="37"/>
      <c r="J410" s="6"/>
      <c r="K410" s="6"/>
      <c r="L410" s="6"/>
    </row>
    <row r="411" spans="2:12" ht="12.75">
      <c r="B411" s="6"/>
      <c r="C411" s="6"/>
      <c r="D411" s="8"/>
      <c r="E411" s="9"/>
      <c r="F411" s="9"/>
      <c r="G411" s="7"/>
      <c r="H411" s="36"/>
      <c r="I411" s="37"/>
      <c r="J411" s="6"/>
      <c r="K411" s="6"/>
      <c r="L411" s="6"/>
    </row>
    <row r="412" spans="2:12" ht="12.75">
      <c r="B412" s="6"/>
      <c r="C412" s="6"/>
      <c r="D412" s="8"/>
      <c r="E412" s="9"/>
      <c r="F412" s="9"/>
      <c r="G412" s="7"/>
      <c r="H412" s="36"/>
      <c r="I412" s="37"/>
      <c r="J412" s="6"/>
      <c r="K412" s="6"/>
      <c r="L412" s="6"/>
    </row>
    <row r="413" spans="2:12" ht="12.75">
      <c r="B413" s="6"/>
      <c r="C413" s="6"/>
      <c r="D413" s="8"/>
      <c r="E413" s="9"/>
      <c r="F413" s="9"/>
      <c r="G413" s="7"/>
      <c r="H413" s="36"/>
      <c r="I413" s="37"/>
      <c r="J413" s="6"/>
      <c r="K413" s="6"/>
      <c r="L413" s="6"/>
    </row>
    <row r="414" spans="2:12" ht="12.75">
      <c r="B414" s="6"/>
      <c r="C414" s="6"/>
      <c r="D414" s="8"/>
      <c r="E414" s="9"/>
      <c r="F414" s="9"/>
      <c r="G414" s="7"/>
      <c r="H414" s="36"/>
      <c r="I414" s="37"/>
      <c r="J414" s="6"/>
      <c r="K414" s="6"/>
      <c r="L414" s="6"/>
    </row>
    <row r="415" spans="2:12" ht="12.75">
      <c r="B415" s="6"/>
      <c r="C415" s="6"/>
      <c r="D415" s="8"/>
      <c r="E415" s="9"/>
      <c r="F415" s="9"/>
      <c r="G415" s="7"/>
      <c r="H415" s="36"/>
      <c r="I415" s="37"/>
      <c r="J415" s="6"/>
      <c r="K415" s="6"/>
      <c r="L415" s="6"/>
    </row>
    <row r="416" spans="2:12" ht="12.75">
      <c r="B416" s="6"/>
      <c r="C416" s="6"/>
      <c r="D416" s="8"/>
      <c r="E416" s="9"/>
      <c r="F416" s="9"/>
      <c r="G416" s="7"/>
      <c r="H416" s="36"/>
      <c r="I416" s="37"/>
      <c r="J416" s="6"/>
      <c r="K416" s="6"/>
      <c r="L416" s="6"/>
    </row>
    <row r="417" spans="2:12" ht="12.75">
      <c r="B417" s="6"/>
      <c r="C417" s="6"/>
      <c r="D417" s="8"/>
      <c r="E417" s="9"/>
      <c r="F417" s="9"/>
      <c r="G417" s="7"/>
      <c r="H417" s="36"/>
      <c r="I417" s="37"/>
      <c r="J417" s="6"/>
      <c r="K417" s="6"/>
      <c r="L417" s="6"/>
    </row>
    <row r="418" spans="2:12" ht="12.75">
      <c r="B418" s="6"/>
      <c r="C418" s="6"/>
      <c r="D418" s="8"/>
      <c r="E418" s="9"/>
      <c r="F418" s="9"/>
      <c r="G418" s="7"/>
      <c r="H418" s="36"/>
      <c r="I418" s="37"/>
      <c r="J418" s="6"/>
      <c r="K418" s="6"/>
      <c r="L418" s="6"/>
    </row>
    <row r="419" spans="2:12" ht="12.75">
      <c r="B419" s="6"/>
      <c r="C419" s="6"/>
      <c r="D419" s="8"/>
      <c r="E419" s="9"/>
      <c r="F419" s="9"/>
      <c r="G419" s="7"/>
      <c r="H419" s="36"/>
      <c r="I419" s="37"/>
      <c r="J419" s="6"/>
      <c r="K419" s="6"/>
      <c r="L419" s="6"/>
    </row>
    <row r="420" spans="2:12" ht="12.75">
      <c r="B420" s="6"/>
      <c r="C420" s="6"/>
      <c r="D420" s="8"/>
      <c r="E420" s="9"/>
      <c r="F420" s="9"/>
      <c r="G420" s="7"/>
      <c r="H420" s="36"/>
      <c r="I420" s="37"/>
      <c r="J420" s="6"/>
      <c r="K420" s="6"/>
      <c r="L420" s="6"/>
    </row>
    <row r="421" spans="2:12" ht="12.75">
      <c r="B421" s="6"/>
      <c r="C421" s="6"/>
      <c r="D421" s="8"/>
      <c r="E421" s="9"/>
      <c r="F421" s="9"/>
      <c r="G421" s="7"/>
      <c r="H421" s="36"/>
      <c r="I421" s="37"/>
      <c r="J421" s="6"/>
      <c r="K421" s="6"/>
      <c r="L421" s="6"/>
    </row>
    <row r="422" spans="2:12" ht="12.75">
      <c r="B422" s="6"/>
      <c r="C422" s="6"/>
      <c r="D422" s="8"/>
      <c r="E422" s="9"/>
      <c r="F422" s="9"/>
      <c r="G422" s="7"/>
      <c r="H422" s="36"/>
      <c r="I422" s="37"/>
      <c r="J422" s="6"/>
      <c r="K422" s="6"/>
      <c r="L422" s="6"/>
    </row>
    <row r="423" spans="2:12" ht="12.75">
      <c r="B423" s="6"/>
      <c r="C423" s="6"/>
      <c r="D423" s="8"/>
      <c r="E423" s="9"/>
      <c r="F423" s="9"/>
      <c r="G423" s="7"/>
      <c r="H423" s="36"/>
      <c r="I423" s="37"/>
      <c r="J423" s="6"/>
      <c r="K423" s="6"/>
      <c r="L423" s="6"/>
    </row>
    <row r="424" spans="2:12" ht="12.75">
      <c r="B424" s="6"/>
      <c r="C424" s="6"/>
      <c r="D424" s="8"/>
      <c r="E424" s="9"/>
      <c r="F424" s="9"/>
      <c r="G424" s="7"/>
      <c r="H424" s="36"/>
      <c r="I424" s="37"/>
      <c r="J424" s="6"/>
      <c r="K424" s="6"/>
      <c r="L424" s="6"/>
    </row>
    <row r="425" spans="2:12" ht="12.75">
      <c r="B425" s="6"/>
      <c r="C425" s="6"/>
      <c r="D425" s="8"/>
      <c r="E425" s="9"/>
      <c r="F425" s="9"/>
      <c r="G425" s="7"/>
      <c r="H425" s="36"/>
      <c r="I425" s="37"/>
      <c r="J425" s="6"/>
      <c r="K425" s="6"/>
      <c r="L425" s="6"/>
    </row>
    <row r="426" spans="2:12" ht="12.75">
      <c r="B426" s="6"/>
      <c r="C426" s="6"/>
      <c r="D426" s="8"/>
      <c r="E426" s="9"/>
      <c r="F426" s="9"/>
      <c r="G426" s="7"/>
      <c r="H426" s="36"/>
      <c r="I426" s="37"/>
      <c r="J426" s="6"/>
      <c r="K426" s="6"/>
      <c r="L426" s="6"/>
    </row>
    <row r="427" spans="2:12" ht="12.75">
      <c r="B427" s="6"/>
      <c r="C427" s="6"/>
      <c r="D427" s="8"/>
      <c r="E427" s="9"/>
      <c r="F427" s="9"/>
      <c r="G427" s="7"/>
      <c r="H427" s="36"/>
      <c r="I427" s="37"/>
      <c r="J427" s="6"/>
      <c r="K427" s="6"/>
      <c r="L427" s="6"/>
    </row>
    <row r="428" spans="2:12" ht="12.75">
      <c r="B428" s="6"/>
      <c r="C428" s="6"/>
      <c r="D428" s="8"/>
      <c r="E428" s="9"/>
      <c r="F428" s="9"/>
      <c r="G428" s="7"/>
      <c r="H428" s="36"/>
      <c r="I428" s="37"/>
      <c r="J428" s="6"/>
      <c r="K428" s="6"/>
      <c r="L428" s="6"/>
    </row>
    <row r="429" spans="2:12" ht="12.75">
      <c r="B429" s="6"/>
      <c r="C429" s="6"/>
      <c r="D429" s="8"/>
      <c r="E429" s="9"/>
      <c r="F429" s="9"/>
      <c r="G429" s="7"/>
      <c r="H429" s="36"/>
      <c r="I429" s="37"/>
      <c r="J429" s="6"/>
      <c r="K429" s="6"/>
      <c r="L429" s="6"/>
    </row>
    <row r="430" spans="2:12" ht="12.75">
      <c r="B430" s="6"/>
      <c r="C430" s="6"/>
      <c r="D430" s="8"/>
      <c r="E430" s="9"/>
      <c r="F430" s="9"/>
      <c r="G430" s="7"/>
      <c r="H430" s="36"/>
      <c r="I430" s="37"/>
      <c r="J430" s="6"/>
      <c r="K430" s="6"/>
      <c r="L430" s="6"/>
    </row>
    <row r="431" spans="2:12" ht="12.75">
      <c r="B431" s="6"/>
      <c r="C431" s="6"/>
      <c r="D431" s="8"/>
      <c r="E431" s="9"/>
      <c r="F431" s="9"/>
      <c r="G431" s="7"/>
      <c r="H431" s="36"/>
      <c r="I431" s="37"/>
      <c r="J431" s="6"/>
      <c r="K431" s="6"/>
      <c r="L431" s="6"/>
    </row>
    <row r="432" spans="2:12" ht="12.75">
      <c r="B432" s="6"/>
      <c r="C432" s="6"/>
      <c r="D432" s="8"/>
      <c r="E432" s="9"/>
      <c r="F432" s="9"/>
      <c r="G432" s="7"/>
      <c r="H432" s="36"/>
      <c r="I432" s="37"/>
      <c r="J432" s="6"/>
      <c r="K432" s="6"/>
      <c r="L432" s="6"/>
    </row>
    <row r="433" spans="2:12" ht="12.75">
      <c r="B433" s="6"/>
      <c r="C433" s="6"/>
      <c r="D433" s="8"/>
      <c r="E433" s="9"/>
      <c r="F433" s="9"/>
      <c r="G433" s="7"/>
      <c r="H433" s="36"/>
      <c r="I433" s="37"/>
      <c r="J433" s="6"/>
      <c r="K433" s="6"/>
      <c r="L433" s="6"/>
    </row>
    <row r="434" spans="2:12" ht="12.75">
      <c r="B434" s="6"/>
      <c r="C434" s="6"/>
      <c r="D434" s="8"/>
      <c r="E434" s="9"/>
      <c r="F434" s="9"/>
      <c r="G434" s="7"/>
      <c r="H434" s="36"/>
      <c r="I434" s="37"/>
      <c r="J434" s="6"/>
      <c r="K434" s="6"/>
      <c r="L434" s="6"/>
    </row>
    <row r="435" spans="2:12" ht="12.75">
      <c r="B435" s="6"/>
      <c r="C435" s="6"/>
      <c r="D435" s="8"/>
      <c r="E435" s="9"/>
      <c r="F435" s="9"/>
      <c r="G435" s="7"/>
      <c r="H435" s="36"/>
      <c r="I435" s="37"/>
      <c r="J435" s="6"/>
      <c r="K435" s="6"/>
      <c r="L435" s="6"/>
    </row>
    <row r="436" spans="2:12" ht="12.75">
      <c r="B436" s="6"/>
      <c r="C436" s="6"/>
      <c r="D436" s="8"/>
      <c r="E436" s="9"/>
      <c r="F436" s="9"/>
      <c r="G436" s="7"/>
      <c r="H436" s="36"/>
      <c r="I436" s="37"/>
      <c r="J436" s="6"/>
      <c r="K436" s="6"/>
      <c r="L436" s="6"/>
    </row>
    <row r="437" spans="2:12" ht="12.75">
      <c r="B437" s="6"/>
      <c r="C437" s="6"/>
      <c r="D437" s="8"/>
      <c r="E437" s="9"/>
      <c r="F437" s="9"/>
      <c r="G437" s="7"/>
      <c r="H437" s="36"/>
      <c r="I437" s="37"/>
      <c r="J437" s="6"/>
      <c r="K437" s="6"/>
      <c r="L437" s="6"/>
    </row>
    <row r="438" spans="2:12" ht="12.75">
      <c r="B438" s="6"/>
      <c r="C438" s="6"/>
      <c r="D438" s="8"/>
      <c r="E438" s="9"/>
      <c r="F438" s="9"/>
      <c r="G438" s="7"/>
      <c r="H438" s="36"/>
      <c r="I438" s="37"/>
      <c r="J438" s="6"/>
      <c r="K438" s="6"/>
      <c r="L438" s="6"/>
    </row>
    <row r="439" spans="2:12" ht="12.75">
      <c r="B439" s="6"/>
      <c r="C439" s="6"/>
      <c r="D439" s="8"/>
      <c r="E439" s="9"/>
      <c r="F439" s="9"/>
      <c r="G439" s="7"/>
      <c r="H439" s="36"/>
      <c r="I439" s="37"/>
      <c r="J439" s="6"/>
      <c r="K439" s="6"/>
      <c r="L439" s="6"/>
    </row>
    <row r="440" spans="2:12" ht="12.75">
      <c r="B440" s="6"/>
      <c r="C440" s="6"/>
      <c r="D440" s="8"/>
      <c r="E440" s="9"/>
      <c r="F440" s="9"/>
      <c r="G440" s="7"/>
      <c r="H440" s="36"/>
      <c r="I440" s="37"/>
      <c r="J440" s="6"/>
      <c r="K440" s="6"/>
      <c r="L440" s="6"/>
    </row>
    <row r="441" spans="2:12" ht="12.75">
      <c r="B441" s="6"/>
      <c r="C441" s="6"/>
      <c r="D441" s="8"/>
      <c r="E441" s="9"/>
      <c r="F441" s="9"/>
      <c r="G441" s="7"/>
      <c r="H441" s="36"/>
      <c r="I441" s="37"/>
      <c r="J441" s="6"/>
      <c r="K441" s="6"/>
      <c r="L441" s="6"/>
    </row>
    <row r="442" spans="2:12" ht="12.75">
      <c r="B442" s="6"/>
      <c r="C442" s="6"/>
      <c r="D442" s="8"/>
      <c r="E442" s="9"/>
      <c r="F442" s="9"/>
      <c r="G442" s="7"/>
      <c r="H442" s="36"/>
      <c r="I442" s="37"/>
      <c r="J442" s="6"/>
      <c r="K442" s="6"/>
      <c r="L442" s="6"/>
    </row>
    <row r="443" spans="2:12" ht="12.75">
      <c r="B443" s="6"/>
      <c r="C443" s="6"/>
      <c r="D443" s="8"/>
      <c r="E443" s="9"/>
      <c r="F443" s="9"/>
      <c r="G443" s="7"/>
      <c r="H443" s="36"/>
      <c r="I443" s="37"/>
      <c r="J443" s="6"/>
      <c r="K443" s="6"/>
      <c r="L443" s="6"/>
    </row>
    <row r="444" spans="2:12" ht="12.75">
      <c r="B444" s="6"/>
      <c r="C444" s="6"/>
      <c r="D444" s="8"/>
      <c r="E444" s="9"/>
      <c r="F444" s="9"/>
      <c r="G444" s="7"/>
      <c r="H444" s="36"/>
      <c r="I444" s="37"/>
      <c r="J444" s="6"/>
      <c r="K444" s="6"/>
      <c r="L444" s="6"/>
    </row>
    <row r="445" spans="2:12" ht="12.75">
      <c r="B445" s="6"/>
      <c r="C445" s="6"/>
      <c r="D445" s="8"/>
      <c r="E445" s="9"/>
      <c r="F445" s="9"/>
      <c r="G445" s="7"/>
      <c r="H445" s="36"/>
      <c r="I445" s="37"/>
      <c r="J445" s="6"/>
      <c r="K445" s="6"/>
      <c r="L445" s="6"/>
    </row>
    <row r="446" spans="2:12" ht="12.75">
      <c r="B446" s="6"/>
      <c r="C446" s="6"/>
      <c r="D446" s="8"/>
      <c r="E446" s="9"/>
      <c r="F446" s="9"/>
      <c r="G446" s="7"/>
      <c r="H446" s="36"/>
      <c r="I446" s="37"/>
      <c r="J446" s="6"/>
      <c r="K446" s="6"/>
      <c r="L446" s="6"/>
    </row>
    <row r="447" spans="2:12" ht="12.75">
      <c r="B447" s="6"/>
      <c r="C447" s="6"/>
      <c r="D447" s="8"/>
      <c r="E447" s="9"/>
      <c r="F447" s="9"/>
      <c r="G447" s="7"/>
      <c r="H447" s="36"/>
      <c r="I447" s="37"/>
      <c r="J447" s="6"/>
      <c r="K447" s="6"/>
      <c r="L447" s="6"/>
    </row>
    <row r="448" spans="2:12" ht="12.75">
      <c r="B448" s="6"/>
      <c r="C448" s="6"/>
      <c r="D448" s="8"/>
      <c r="E448" s="9"/>
      <c r="F448" s="9"/>
      <c r="G448" s="7"/>
      <c r="H448" s="36"/>
      <c r="I448" s="37"/>
      <c r="J448" s="6"/>
      <c r="K448" s="6"/>
      <c r="L448" s="6"/>
    </row>
    <row r="449" spans="2:12" ht="12.75">
      <c r="B449" s="6"/>
      <c r="C449" s="6"/>
      <c r="D449" s="8"/>
      <c r="E449" s="9"/>
      <c r="F449" s="9"/>
      <c r="G449" s="7"/>
      <c r="H449" s="36"/>
      <c r="I449" s="37"/>
      <c r="J449" s="6"/>
      <c r="K449" s="6"/>
      <c r="L449" s="6"/>
    </row>
    <row r="450" spans="2:12" ht="12.75">
      <c r="B450" s="6"/>
      <c r="C450" s="6"/>
      <c r="D450" s="8"/>
      <c r="E450" s="9"/>
      <c r="F450" s="9"/>
      <c r="G450" s="7"/>
      <c r="H450" s="36"/>
      <c r="I450" s="37"/>
      <c r="J450" s="6"/>
      <c r="K450" s="6"/>
      <c r="L450" s="6"/>
    </row>
    <row r="451" spans="2:12" ht="12.75">
      <c r="B451" s="6"/>
      <c r="C451" s="6"/>
      <c r="D451" s="8"/>
      <c r="E451" s="9"/>
      <c r="F451" s="9"/>
      <c r="G451" s="7"/>
      <c r="H451" s="36"/>
      <c r="I451" s="37"/>
      <c r="J451" s="6"/>
      <c r="K451" s="6"/>
      <c r="L451" s="6"/>
    </row>
    <row r="452" spans="2:12" ht="12.75">
      <c r="B452" s="6"/>
      <c r="C452" s="6"/>
      <c r="D452" s="8"/>
      <c r="E452" s="9"/>
      <c r="F452" s="9"/>
      <c r="G452" s="7"/>
      <c r="H452" s="36"/>
      <c r="I452" s="37"/>
      <c r="J452" s="6"/>
      <c r="K452" s="6"/>
      <c r="L452" s="6"/>
    </row>
    <row r="453" spans="2:12" ht="12.75">
      <c r="B453" s="6"/>
      <c r="C453" s="6"/>
      <c r="D453" s="8"/>
      <c r="E453" s="9"/>
      <c r="F453" s="9"/>
      <c r="G453" s="7"/>
      <c r="H453" s="36"/>
      <c r="I453" s="37"/>
      <c r="J453" s="6"/>
      <c r="K453" s="6"/>
      <c r="L453" s="6"/>
    </row>
    <row r="454" spans="2:12" ht="12.75">
      <c r="B454" s="6"/>
      <c r="C454" s="6"/>
      <c r="D454" s="8"/>
      <c r="E454" s="9"/>
      <c r="F454" s="9"/>
      <c r="G454" s="7"/>
      <c r="H454" s="36"/>
      <c r="I454" s="37"/>
      <c r="J454" s="6"/>
      <c r="K454" s="6"/>
      <c r="L454" s="6"/>
    </row>
    <row r="455" spans="2:12" ht="12.75">
      <c r="B455" s="6"/>
      <c r="C455" s="6"/>
      <c r="D455" s="8"/>
      <c r="E455" s="9"/>
      <c r="F455" s="9"/>
      <c r="G455" s="7"/>
      <c r="H455" s="36"/>
      <c r="I455" s="37"/>
      <c r="J455" s="6"/>
      <c r="K455" s="6"/>
      <c r="L455" s="6"/>
    </row>
    <row r="456" spans="2:12" ht="12.75">
      <c r="B456" s="6"/>
      <c r="C456" s="6"/>
      <c r="D456" s="8"/>
      <c r="E456" s="9"/>
      <c r="F456" s="9"/>
      <c r="G456" s="7"/>
      <c r="H456" s="36"/>
      <c r="I456" s="37"/>
      <c r="J456" s="6"/>
      <c r="K456" s="6"/>
      <c r="L456" s="6"/>
    </row>
    <row r="457" spans="2:12" ht="12.75">
      <c r="B457" s="6"/>
      <c r="C457" s="6"/>
      <c r="D457" s="8"/>
      <c r="E457" s="9"/>
      <c r="F457" s="9"/>
      <c r="G457" s="7"/>
      <c r="H457" s="36"/>
      <c r="I457" s="37"/>
      <c r="J457" s="6"/>
      <c r="K457" s="6"/>
      <c r="L457" s="6"/>
    </row>
    <row r="458" spans="2:12" ht="12.75">
      <c r="B458" s="6"/>
      <c r="C458" s="6"/>
      <c r="D458" s="8"/>
      <c r="E458" s="9"/>
      <c r="F458" s="9"/>
      <c r="G458" s="7"/>
      <c r="H458" s="36"/>
      <c r="I458" s="37"/>
      <c r="J458" s="6"/>
      <c r="K458" s="6"/>
      <c r="L458" s="6"/>
    </row>
    <row r="459" spans="2:12" ht="12.75">
      <c r="B459" s="6"/>
      <c r="C459" s="6"/>
      <c r="D459" s="8"/>
      <c r="E459" s="9"/>
      <c r="F459" s="9"/>
      <c r="G459" s="7"/>
      <c r="H459" s="36"/>
      <c r="I459" s="37"/>
      <c r="J459" s="6"/>
      <c r="K459" s="6"/>
      <c r="L459" s="6"/>
    </row>
    <row r="460" spans="2:12" ht="12.75">
      <c r="B460" s="6"/>
      <c r="C460" s="6"/>
      <c r="D460" s="8"/>
      <c r="E460" s="9"/>
      <c r="F460" s="9"/>
      <c r="G460" s="7"/>
      <c r="H460" s="36"/>
      <c r="I460" s="37"/>
      <c r="J460" s="6"/>
      <c r="K460" s="6"/>
      <c r="L460" s="6"/>
    </row>
    <row r="461" spans="2:12" ht="12.75">
      <c r="B461" s="6"/>
      <c r="C461" s="6"/>
      <c r="D461" s="8"/>
      <c r="E461" s="9"/>
      <c r="F461" s="9"/>
      <c r="G461" s="7"/>
      <c r="H461" s="36"/>
      <c r="I461" s="37"/>
      <c r="J461" s="6"/>
      <c r="K461" s="6"/>
      <c r="L461" s="6"/>
    </row>
    <row r="462" spans="2:12" ht="12.75">
      <c r="B462" s="6"/>
      <c r="C462" s="6"/>
      <c r="D462" s="8"/>
      <c r="E462" s="9"/>
      <c r="F462" s="9"/>
      <c r="G462" s="7"/>
      <c r="H462" s="36"/>
      <c r="I462" s="37"/>
      <c r="J462" s="6"/>
      <c r="K462" s="6"/>
      <c r="L462" s="6"/>
    </row>
    <row r="463" spans="2:12" ht="12.75">
      <c r="B463" s="6"/>
      <c r="C463" s="6"/>
      <c r="D463" s="8"/>
      <c r="E463" s="9"/>
      <c r="F463" s="9"/>
      <c r="G463" s="7"/>
      <c r="H463" s="36"/>
      <c r="I463" s="37"/>
      <c r="J463" s="6"/>
      <c r="K463" s="6"/>
      <c r="L463" s="6"/>
    </row>
    <row r="464" spans="2:12" ht="12.75">
      <c r="B464" s="6"/>
      <c r="C464" s="6"/>
      <c r="D464" s="8"/>
      <c r="E464" s="9"/>
      <c r="F464" s="9"/>
      <c r="G464" s="7"/>
      <c r="H464" s="36"/>
      <c r="I464" s="37"/>
      <c r="J464" s="6"/>
      <c r="K464" s="6"/>
      <c r="L464" s="6"/>
    </row>
    <row r="465" spans="2:12" ht="12.75">
      <c r="B465" s="6"/>
      <c r="C465" s="6"/>
      <c r="D465" s="8"/>
      <c r="E465" s="9"/>
      <c r="F465" s="9"/>
      <c r="G465" s="7"/>
      <c r="H465" s="36"/>
      <c r="I465" s="37"/>
      <c r="J465" s="6"/>
      <c r="K465" s="6"/>
      <c r="L465" s="6"/>
    </row>
    <row r="466" spans="2:12" ht="12.75">
      <c r="B466" s="6"/>
      <c r="C466" s="6"/>
      <c r="D466" s="8"/>
      <c r="E466" s="9"/>
      <c r="F466" s="9"/>
      <c r="G466" s="7"/>
      <c r="H466" s="36"/>
      <c r="I466" s="37"/>
      <c r="J466" s="6"/>
      <c r="K466" s="6"/>
      <c r="L466" s="6"/>
    </row>
    <row r="467" spans="2:12" ht="12.75">
      <c r="B467" s="6"/>
      <c r="C467" s="6"/>
      <c r="D467" s="8"/>
      <c r="E467" s="9"/>
      <c r="F467" s="9"/>
      <c r="G467" s="7"/>
      <c r="H467" s="36"/>
      <c r="I467" s="37"/>
      <c r="J467" s="6"/>
      <c r="K467" s="6"/>
      <c r="L467" s="6"/>
    </row>
    <row r="468" spans="2:12" ht="12.75">
      <c r="B468" s="6"/>
      <c r="C468" s="6"/>
      <c r="D468" s="8"/>
      <c r="E468" s="9"/>
      <c r="F468" s="9"/>
      <c r="G468" s="7"/>
      <c r="H468" s="36"/>
      <c r="I468" s="37"/>
      <c r="J468" s="6"/>
      <c r="K468" s="6"/>
      <c r="L468" s="6"/>
    </row>
    <row r="469" spans="2:12" ht="12.75">
      <c r="B469" s="6"/>
      <c r="C469" s="6"/>
      <c r="D469" s="8"/>
      <c r="E469" s="9"/>
      <c r="F469" s="9"/>
      <c r="G469" s="7"/>
      <c r="H469" s="36"/>
      <c r="I469" s="37"/>
      <c r="J469" s="6"/>
      <c r="K469" s="6"/>
      <c r="L469" s="6"/>
    </row>
    <row r="470" spans="2:12" ht="12.75">
      <c r="B470" s="6"/>
      <c r="C470" s="6"/>
      <c r="D470" s="8"/>
      <c r="E470" s="9"/>
      <c r="F470" s="9"/>
      <c r="G470" s="7"/>
      <c r="H470" s="36"/>
      <c r="I470" s="37"/>
      <c r="J470" s="6"/>
      <c r="K470" s="6"/>
      <c r="L470" s="6"/>
    </row>
    <row r="471" spans="2:12" ht="12.75">
      <c r="B471" s="6"/>
      <c r="C471" s="6"/>
      <c r="D471" s="8"/>
      <c r="E471" s="9"/>
      <c r="F471" s="9"/>
      <c r="G471" s="7"/>
      <c r="H471" s="36"/>
      <c r="I471" s="37"/>
      <c r="J471" s="6"/>
      <c r="K471" s="6"/>
      <c r="L471" s="6"/>
    </row>
    <row r="472" spans="2:12" ht="12.75">
      <c r="B472" s="6"/>
      <c r="C472" s="6"/>
      <c r="D472" s="8"/>
      <c r="E472" s="9"/>
      <c r="F472" s="9"/>
      <c r="G472" s="7"/>
      <c r="H472" s="36"/>
      <c r="I472" s="37"/>
      <c r="J472" s="6"/>
      <c r="K472" s="6"/>
      <c r="L472" s="6"/>
    </row>
    <row r="473" spans="2:12" ht="12.75">
      <c r="B473" s="6"/>
      <c r="C473" s="6"/>
      <c r="D473" s="8"/>
      <c r="E473" s="9"/>
      <c r="F473" s="9"/>
      <c r="G473" s="7"/>
      <c r="H473" s="36"/>
      <c r="I473" s="37"/>
      <c r="J473" s="6"/>
      <c r="K473" s="6"/>
      <c r="L473" s="6"/>
    </row>
    <row r="474" spans="2:12" ht="12.75">
      <c r="B474" s="6"/>
      <c r="C474" s="6"/>
      <c r="D474" s="8"/>
      <c r="E474" s="9"/>
      <c r="F474" s="9"/>
      <c r="G474" s="7"/>
      <c r="H474" s="36"/>
      <c r="I474" s="37"/>
      <c r="J474" s="6"/>
      <c r="K474" s="6"/>
      <c r="L474" s="6"/>
    </row>
    <row r="475" spans="2:12" ht="12.75">
      <c r="B475" s="6"/>
      <c r="C475" s="6"/>
      <c r="D475" s="8"/>
      <c r="E475" s="9"/>
      <c r="F475" s="9"/>
      <c r="G475" s="7"/>
      <c r="H475" s="36"/>
      <c r="I475" s="37"/>
      <c r="J475" s="6"/>
      <c r="K475" s="6"/>
      <c r="L475" s="6"/>
    </row>
    <row r="476" spans="2:12" ht="12.75">
      <c r="B476" s="6"/>
      <c r="C476" s="6"/>
      <c r="D476" s="8"/>
      <c r="E476" s="9"/>
      <c r="F476" s="9"/>
      <c r="G476" s="7"/>
      <c r="H476" s="36"/>
      <c r="I476" s="37"/>
      <c r="J476" s="6"/>
      <c r="K476" s="6"/>
      <c r="L476" s="6"/>
    </row>
    <row r="477" spans="2:12" ht="12.75">
      <c r="B477" s="6"/>
      <c r="C477" s="6"/>
      <c r="D477" s="8"/>
      <c r="E477" s="9"/>
      <c r="F477" s="9"/>
      <c r="G477" s="7"/>
      <c r="H477" s="36"/>
      <c r="I477" s="37"/>
      <c r="J477" s="6"/>
      <c r="K477" s="6"/>
      <c r="L477" s="6"/>
    </row>
    <row r="478" spans="2:12" ht="12.75">
      <c r="B478" s="6"/>
      <c r="C478" s="6"/>
      <c r="D478" s="8"/>
      <c r="E478" s="9"/>
      <c r="F478" s="9"/>
      <c r="G478" s="7"/>
      <c r="H478" s="36"/>
      <c r="I478" s="37"/>
      <c r="J478" s="6"/>
      <c r="K478" s="6"/>
      <c r="L478" s="6"/>
    </row>
    <row r="479" spans="2:12" ht="12.75">
      <c r="B479" s="6"/>
      <c r="C479" s="6"/>
      <c r="D479" s="8"/>
      <c r="E479" s="9"/>
      <c r="F479" s="9"/>
      <c r="G479" s="7"/>
      <c r="H479" s="36"/>
      <c r="I479" s="37"/>
      <c r="J479" s="6"/>
      <c r="K479" s="6"/>
      <c r="L479" s="6"/>
    </row>
    <row r="480" spans="2:12" ht="12.75">
      <c r="B480" s="6"/>
      <c r="C480" s="6"/>
      <c r="D480" s="8"/>
      <c r="E480" s="9"/>
      <c r="F480" s="9"/>
      <c r="G480" s="7"/>
      <c r="H480" s="36"/>
      <c r="I480" s="37"/>
      <c r="J480" s="6"/>
      <c r="K480" s="6"/>
      <c r="L480" s="6"/>
    </row>
    <row r="481" spans="2:12" ht="12.75">
      <c r="B481" s="6"/>
      <c r="C481" s="6"/>
      <c r="D481" s="8"/>
      <c r="E481" s="9"/>
      <c r="F481" s="9"/>
      <c r="G481" s="7"/>
      <c r="H481" s="36"/>
      <c r="I481" s="37"/>
      <c r="J481" s="6"/>
      <c r="K481" s="6"/>
      <c r="L481" s="6"/>
    </row>
    <row r="482" spans="2:12" ht="12.75">
      <c r="B482" s="6"/>
      <c r="C482" s="6"/>
      <c r="D482" s="8"/>
      <c r="E482" s="9"/>
      <c r="F482" s="9"/>
      <c r="G482" s="7"/>
      <c r="H482" s="36"/>
      <c r="I482" s="37"/>
      <c r="J482" s="6"/>
      <c r="K482" s="6"/>
      <c r="L482" s="6"/>
    </row>
    <row r="483" spans="2:12" ht="12.75">
      <c r="B483" s="6"/>
      <c r="C483" s="6"/>
      <c r="D483" s="8"/>
      <c r="E483" s="9"/>
      <c r="F483" s="9"/>
      <c r="G483" s="7"/>
      <c r="H483" s="36"/>
      <c r="I483" s="37"/>
      <c r="J483" s="6"/>
      <c r="K483" s="6"/>
      <c r="L483" s="6"/>
    </row>
    <row r="484" spans="2:12" ht="12.75">
      <c r="B484" s="6"/>
      <c r="C484" s="6"/>
      <c r="D484" s="8"/>
      <c r="E484" s="9"/>
      <c r="F484" s="9"/>
      <c r="G484" s="7"/>
      <c r="H484" s="36"/>
      <c r="I484" s="37"/>
      <c r="J484" s="6"/>
      <c r="K484" s="6"/>
      <c r="L484" s="6"/>
    </row>
    <row r="485" spans="2:12" ht="12.75">
      <c r="B485" s="6"/>
      <c r="C485" s="6"/>
      <c r="D485" s="8"/>
      <c r="E485" s="9"/>
      <c r="F485" s="9"/>
      <c r="G485" s="7"/>
      <c r="H485" s="36"/>
      <c r="I485" s="37"/>
      <c r="J485" s="6"/>
      <c r="K485" s="6"/>
      <c r="L485" s="6"/>
    </row>
    <row r="486" spans="2:12" ht="12.75">
      <c r="B486" s="6"/>
      <c r="C486" s="6"/>
      <c r="D486" s="8"/>
      <c r="E486" s="9"/>
      <c r="F486" s="9"/>
      <c r="G486" s="7"/>
      <c r="H486" s="36"/>
      <c r="I486" s="37"/>
      <c r="J486" s="6"/>
      <c r="K486" s="6"/>
      <c r="L486" s="6"/>
    </row>
    <row r="487" spans="2:12" ht="12.75">
      <c r="B487" s="6"/>
      <c r="C487" s="6"/>
      <c r="D487" s="8"/>
      <c r="E487" s="9"/>
      <c r="F487" s="9"/>
      <c r="G487" s="7"/>
      <c r="H487" s="36"/>
      <c r="I487" s="37"/>
      <c r="J487" s="6"/>
      <c r="K487" s="6"/>
      <c r="L487" s="6"/>
    </row>
    <row r="488" spans="2:12" ht="12.75">
      <c r="B488" s="6"/>
      <c r="C488" s="6"/>
      <c r="D488" s="8"/>
      <c r="E488" s="9"/>
      <c r="F488" s="9"/>
      <c r="G488" s="7"/>
      <c r="H488" s="36"/>
      <c r="I488" s="37"/>
      <c r="J488" s="6"/>
      <c r="K488" s="6"/>
      <c r="L488" s="6"/>
    </row>
    <row r="489" spans="2:12" ht="12.75">
      <c r="B489" s="6"/>
      <c r="C489" s="6"/>
      <c r="D489" s="8"/>
      <c r="E489" s="9"/>
      <c r="F489" s="9"/>
      <c r="G489" s="7"/>
      <c r="H489" s="36"/>
      <c r="I489" s="37"/>
      <c r="J489" s="6"/>
      <c r="K489" s="6"/>
      <c r="L489" s="6"/>
    </row>
    <row r="490" spans="2:12" ht="12.75">
      <c r="B490" s="6"/>
      <c r="C490" s="6"/>
      <c r="D490" s="8"/>
      <c r="E490" s="9"/>
      <c r="F490" s="9"/>
      <c r="G490" s="7"/>
      <c r="H490" s="36"/>
      <c r="I490" s="37"/>
      <c r="J490" s="6"/>
      <c r="K490" s="6"/>
      <c r="L490" s="6"/>
    </row>
    <row r="491" spans="2:12" ht="12.75">
      <c r="B491" s="6"/>
      <c r="C491" s="6"/>
      <c r="D491" s="8"/>
      <c r="E491" s="9"/>
      <c r="F491" s="9"/>
      <c r="G491" s="7"/>
      <c r="H491" s="36"/>
      <c r="I491" s="37"/>
      <c r="J491" s="6"/>
      <c r="K491" s="6"/>
      <c r="L491" s="6"/>
    </row>
    <row r="492" spans="2:12" ht="12.75">
      <c r="B492" s="6"/>
      <c r="C492" s="6"/>
      <c r="D492" s="8"/>
      <c r="E492" s="9"/>
      <c r="F492" s="9"/>
      <c r="G492" s="7"/>
      <c r="H492" s="36"/>
      <c r="I492" s="37"/>
      <c r="J492" s="6"/>
      <c r="K492" s="6"/>
      <c r="L492" s="6"/>
    </row>
    <row r="493" spans="2:12" ht="12.75">
      <c r="B493" s="6"/>
      <c r="C493" s="6"/>
      <c r="D493" s="8"/>
      <c r="E493" s="9"/>
      <c r="F493" s="9"/>
      <c r="G493" s="7"/>
      <c r="H493" s="36"/>
      <c r="I493" s="37"/>
      <c r="J493" s="6"/>
      <c r="K493" s="6"/>
      <c r="L493" s="6"/>
    </row>
    <row r="494" spans="2:12" ht="12.75">
      <c r="B494" s="6"/>
      <c r="C494" s="6"/>
      <c r="D494" s="8"/>
      <c r="E494" s="9"/>
      <c r="F494" s="9"/>
      <c r="G494" s="7"/>
      <c r="H494" s="36"/>
      <c r="I494" s="37"/>
      <c r="J494" s="6"/>
      <c r="K494" s="6"/>
      <c r="L494" s="6"/>
    </row>
    <row r="495" spans="2:12" ht="12.75">
      <c r="B495" s="6"/>
      <c r="C495" s="6"/>
      <c r="D495" s="8"/>
      <c r="E495" s="9"/>
      <c r="F495" s="9"/>
      <c r="G495" s="7"/>
      <c r="H495" s="36"/>
      <c r="I495" s="37"/>
      <c r="J495" s="6"/>
      <c r="K495" s="6"/>
      <c r="L495" s="6"/>
    </row>
    <row r="496" spans="2:12" ht="12.75">
      <c r="B496" s="6"/>
      <c r="C496" s="6"/>
      <c r="D496" s="8"/>
      <c r="E496" s="9"/>
      <c r="F496" s="9"/>
      <c r="G496" s="7"/>
      <c r="H496" s="36"/>
      <c r="I496" s="37"/>
      <c r="J496" s="6"/>
      <c r="K496" s="6"/>
      <c r="L496" s="6"/>
    </row>
    <row r="497" spans="2:12" ht="12.75">
      <c r="B497" s="6"/>
      <c r="C497" s="6"/>
      <c r="D497" s="8"/>
      <c r="E497" s="9"/>
      <c r="F497" s="9"/>
      <c r="G497" s="7"/>
      <c r="H497" s="36"/>
      <c r="I497" s="37"/>
      <c r="J497" s="6"/>
      <c r="K497" s="6"/>
      <c r="L497" s="6"/>
    </row>
    <row r="498" spans="2:12" ht="12.75">
      <c r="B498" s="6"/>
      <c r="C498" s="6"/>
      <c r="D498" s="8"/>
      <c r="E498" s="9"/>
      <c r="F498" s="9"/>
      <c r="G498" s="7"/>
      <c r="H498" s="36"/>
      <c r="I498" s="37"/>
      <c r="J498" s="6"/>
      <c r="K498" s="6"/>
      <c r="L498" s="6"/>
    </row>
    <row r="499" spans="2:12" ht="12.75">
      <c r="B499" s="6"/>
      <c r="C499" s="6"/>
      <c r="D499" s="8"/>
      <c r="E499" s="9"/>
      <c r="F499" s="9"/>
      <c r="G499" s="7"/>
      <c r="H499" s="36"/>
      <c r="I499" s="37"/>
      <c r="J499" s="6"/>
      <c r="K499" s="6"/>
      <c r="L499" s="6"/>
    </row>
    <row r="500" spans="2:12" ht="12.75">
      <c r="B500" s="6"/>
      <c r="C500" s="6"/>
      <c r="D500" s="8"/>
      <c r="E500" s="9"/>
      <c r="F500" s="9"/>
      <c r="G500" s="7"/>
      <c r="H500" s="36"/>
      <c r="I500" s="37"/>
      <c r="J500" s="6"/>
      <c r="K500" s="6"/>
      <c r="L500" s="6"/>
    </row>
    <row r="501" spans="2:12" ht="12.75">
      <c r="B501" s="6"/>
      <c r="C501" s="6"/>
      <c r="D501" s="8"/>
      <c r="E501" s="9"/>
      <c r="F501" s="9"/>
      <c r="G501" s="7"/>
      <c r="H501" s="36"/>
      <c r="I501" s="37"/>
      <c r="J501" s="6"/>
      <c r="K501" s="6"/>
      <c r="L501" s="6"/>
    </row>
    <row r="502" spans="2:12" ht="12.75">
      <c r="B502" s="6"/>
      <c r="C502" s="6"/>
      <c r="D502" s="8"/>
      <c r="E502" s="9"/>
      <c r="F502" s="9"/>
      <c r="G502" s="7"/>
      <c r="H502" s="36"/>
      <c r="I502" s="37"/>
      <c r="J502" s="6"/>
      <c r="K502" s="6"/>
      <c r="L502" s="6"/>
    </row>
    <row r="503" spans="2:12" ht="12.75">
      <c r="B503" s="6"/>
      <c r="C503" s="6"/>
      <c r="D503" s="8"/>
      <c r="E503" s="9"/>
      <c r="F503" s="9"/>
      <c r="G503" s="7"/>
      <c r="H503" s="36"/>
      <c r="I503" s="37"/>
      <c r="J503" s="6"/>
      <c r="K503" s="6"/>
      <c r="L503" s="6"/>
    </row>
    <row r="504" spans="2:12" ht="12.75">
      <c r="B504" s="6"/>
      <c r="C504" s="6"/>
      <c r="D504" s="8"/>
      <c r="E504" s="9"/>
      <c r="F504" s="9"/>
      <c r="G504" s="7"/>
      <c r="H504" s="36"/>
      <c r="I504" s="37"/>
      <c r="J504" s="6"/>
      <c r="K504" s="6"/>
      <c r="L504" s="6"/>
    </row>
    <row r="505" spans="2:12" ht="12.75">
      <c r="B505" s="6"/>
      <c r="C505" s="6"/>
      <c r="D505" s="8"/>
      <c r="E505" s="9"/>
      <c r="F505" s="9"/>
      <c r="G505" s="7"/>
      <c r="H505" s="36"/>
      <c r="I505" s="37"/>
      <c r="J505" s="6"/>
      <c r="K505" s="6"/>
      <c r="L505" s="6"/>
    </row>
    <row r="506" spans="2:12" ht="12.75">
      <c r="B506" s="6"/>
      <c r="C506" s="6"/>
      <c r="D506" s="8"/>
      <c r="E506" s="9"/>
      <c r="F506" s="9"/>
      <c r="G506" s="7"/>
      <c r="H506" s="36"/>
      <c r="I506" s="37"/>
      <c r="J506" s="6"/>
      <c r="K506" s="6"/>
      <c r="L506" s="6"/>
    </row>
    <row r="507" spans="2:12" ht="12.75">
      <c r="B507" s="6"/>
      <c r="C507" s="6"/>
      <c r="D507" s="8"/>
      <c r="E507" s="9"/>
      <c r="F507" s="9"/>
      <c r="G507" s="7"/>
      <c r="H507" s="36"/>
      <c r="I507" s="37"/>
      <c r="J507" s="6"/>
      <c r="K507" s="6"/>
      <c r="L507" s="6"/>
    </row>
    <row r="508" spans="2:12" ht="12.75">
      <c r="B508" s="6"/>
      <c r="C508" s="6"/>
      <c r="D508" s="8"/>
      <c r="E508" s="9"/>
      <c r="F508" s="9"/>
      <c r="G508" s="7"/>
      <c r="H508" s="36"/>
      <c r="I508" s="37"/>
      <c r="J508" s="6"/>
      <c r="K508" s="6"/>
      <c r="L508" s="6"/>
    </row>
    <row r="509" spans="2:12" ht="12.75">
      <c r="B509" s="6"/>
      <c r="C509" s="6"/>
      <c r="D509" s="8"/>
      <c r="E509" s="9"/>
      <c r="F509" s="9"/>
      <c r="G509" s="7"/>
      <c r="H509" s="36"/>
      <c r="I509" s="37"/>
      <c r="J509" s="6"/>
      <c r="K509" s="6"/>
      <c r="L509" s="6"/>
    </row>
    <row r="510" spans="2:12" ht="12.75">
      <c r="B510" s="6"/>
      <c r="C510" s="6"/>
      <c r="D510" s="8"/>
      <c r="E510" s="9"/>
      <c r="F510" s="9"/>
      <c r="G510" s="7"/>
      <c r="H510" s="36"/>
      <c r="I510" s="37"/>
      <c r="J510" s="6"/>
      <c r="K510" s="6"/>
      <c r="L510" s="6"/>
    </row>
    <row r="511" spans="2:12" ht="12.75">
      <c r="B511" s="6"/>
      <c r="C511" s="6"/>
      <c r="D511" s="8"/>
      <c r="E511" s="9"/>
      <c r="F511" s="9"/>
      <c r="G511" s="7"/>
      <c r="H511" s="36"/>
      <c r="I511" s="37"/>
      <c r="J511" s="6"/>
      <c r="K511" s="6"/>
      <c r="L511" s="6"/>
    </row>
    <row r="512" spans="2:12" ht="12.75">
      <c r="B512" s="6"/>
      <c r="C512" s="6"/>
      <c r="D512" s="8"/>
      <c r="E512" s="9"/>
      <c r="F512" s="9"/>
      <c r="G512" s="7"/>
      <c r="H512" s="36"/>
      <c r="I512" s="37"/>
      <c r="J512" s="6"/>
      <c r="K512" s="6"/>
      <c r="L512" s="6"/>
    </row>
    <row r="513" spans="2:12" ht="12.75">
      <c r="B513" s="6"/>
      <c r="C513" s="6"/>
      <c r="D513" s="8"/>
      <c r="E513" s="9"/>
      <c r="F513" s="9"/>
      <c r="G513" s="7"/>
      <c r="H513" s="36"/>
      <c r="I513" s="37"/>
      <c r="J513" s="6"/>
      <c r="K513" s="6"/>
      <c r="L513" s="6"/>
    </row>
    <row r="514" spans="2:12" ht="12.75">
      <c r="B514" s="6"/>
      <c r="C514" s="6"/>
      <c r="D514" s="8"/>
      <c r="E514" s="9"/>
      <c r="F514" s="9"/>
      <c r="G514" s="7"/>
      <c r="H514" s="36"/>
      <c r="I514" s="37"/>
      <c r="J514" s="6"/>
      <c r="K514" s="6"/>
      <c r="L514" s="6"/>
    </row>
    <row r="515" spans="2:12" ht="12.75">
      <c r="B515" s="6"/>
      <c r="C515" s="6"/>
      <c r="D515" s="8"/>
      <c r="E515" s="9"/>
      <c r="F515" s="9"/>
      <c r="G515" s="7"/>
      <c r="H515" s="36"/>
      <c r="I515" s="37"/>
      <c r="J515" s="6"/>
      <c r="K515" s="6"/>
      <c r="L515" s="6"/>
    </row>
    <row r="516" spans="2:12" ht="12.75">
      <c r="B516" s="6"/>
      <c r="C516" s="6"/>
      <c r="D516" s="8"/>
      <c r="E516" s="9"/>
      <c r="F516" s="9"/>
      <c r="G516" s="7"/>
      <c r="H516" s="36"/>
      <c r="I516" s="37"/>
      <c r="J516" s="6"/>
      <c r="K516" s="6"/>
      <c r="L516" s="6"/>
    </row>
    <row r="517" spans="2:12" ht="12.75">
      <c r="B517" s="6"/>
      <c r="C517" s="6"/>
      <c r="D517" s="8"/>
      <c r="E517" s="9"/>
      <c r="F517" s="9"/>
      <c r="G517" s="7"/>
      <c r="H517" s="36"/>
      <c r="I517" s="37"/>
      <c r="J517" s="6"/>
      <c r="K517" s="6"/>
      <c r="L517" s="6"/>
    </row>
    <row r="518" spans="2:12" ht="12.75">
      <c r="B518" s="6"/>
      <c r="C518" s="6"/>
      <c r="D518" s="8"/>
      <c r="E518" s="9"/>
      <c r="F518" s="9"/>
      <c r="G518" s="7"/>
      <c r="H518" s="36"/>
      <c r="I518" s="37"/>
      <c r="J518" s="6"/>
      <c r="K518" s="6"/>
      <c r="L518" s="6"/>
    </row>
    <row r="519" spans="2:12" ht="12.75">
      <c r="B519" s="6"/>
      <c r="C519" s="6"/>
      <c r="D519" s="8"/>
      <c r="E519" s="9"/>
      <c r="F519" s="9"/>
      <c r="G519" s="7"/>
      <c r="H519" s="36"/>
      <c r="I519" s="37"/>
      <c r="J519" s="6"/>
      <c r="K519" s="6"/>
      <c r="L519" s="6"/>
    </row>
    <row r="520" spans="2:12" ht="12.75">
      <c r="B520" s="6"/>
      <c r="C520" s="6"/>
      <c r="D520" s="8"/>
      <c r="E520" s="9"/>
      <c r="F520" s="9"/>
      <c r="G520" s="7"/>
      <c r="H520" s="36"/>
      <c r="I520" s="37"/>
      <c r="J520" s="6"/>
      <c r="K520" s="6"/>
      <c r="L520" s="6"/>
    </row>
    <row r="521" spans="2:12" ht="12.75">
      <c r="B521" s="6"/>
      <c r="C521" s="6"/>
      <c r="D521" s="8"/>
      <c r="E521" s="9"/>
      <c r="F521" s="9"/>
      <c r="G521" s="7"/>
      <c r="H521" s="36"/>
      <c r="I521" s="37"/>
      <c r="J521" s="6"/>
      <c r="K521" s="6"/>
      <c r="L521" s="6"/>
    </row>
    <row r="522" spans="2:12" ht="12.75">
      <c r="B522" s="6"/>
      <c r="C522" s="6"/>
      <c r="D522" s="8"/>
      <c r="E522" s="9"/>
      <c r="F522" s="9"/>
      <c r="G522" s="7"/>
      <c r="H522" s="36"/>
      <c r="I522" s="37"/>
      <c r="J522" s="6"/>
      <c r="K522" s="6"/>
      <c r="L522" s="6"/>
    </row>
    <row r="523" spans="2:12" ht="12.75">
      <c r="B523" s="6"/>
      <c r="C523" s="6"/>
      <c r="D523" s="8"/>
      <c r="E523" s="9"/>
      <c r="F523" s="9"/>
      <c r="G523" s="7"/>
      <c r="H523" s="36"/>
      <c r="I523" s="37"/>
      <c r="J523" s="6"/>
      <c r="K523" s="6"/>
      <c r="L523" s="6"/>
    </row>
    <row r="524" spans="2:12" ht="12.75">
      <c r="B524" s="6"/>
      <c r="C524" s="6"/>
      <c r="D524" s="8"/>
      <c r="E524" s="9"/>
      <c r="F524" s="9"/>
      <c r="G524" s="7"/>
      <c r="H524" s="36"/>
      <c r="I524" s="37"/>
      <c r="J524" s="6"/>
      <c r="K524" s="6"/>
      <c r="L524" s="6"/>
    </row>
    <row r="525" spans="2:12" ht="12.75">
      <c r="B525" s="6"/>
      <c r="C525" s="6"/>
      <c r="D525" s="8"/>
      <c r="E525" s="9"/>
      <c r="F525" s="9"/>
      <c r="G525" s="7"/>
      <c r="H525" s="36"/>
      <c r="I525" s="37"/>
      <c r="J525" s="6"/>
      <c r="K525" s="6"/>
      <c r="L525" s="6"/>
    </row>
    <row r="526" spans="2:12" ht="12.75">
      <c r="B526" s="6"/>
      <c r="C526" s="6"/>
      <c r="D526" s="8"/>
      <c r="E526" s="9"/>
      <c r="F526" s="9"/>
      <c r="G526" s="7"/>
      <c r="H526" s="36"/>
      <c r="I526" s="37"/>
      <c r="J526" s="6"/>
      <c r="K526" s="6"/>
      <c r="L526" s="6"/>
    </row>
    <row r="527" spans="2:12" ht="12.75">
      <c r="B527" s="6"/>
      <c r="C527" s="6"/>
      <c r="D527" s="8"/>
      <c r="E527" s="9"/>
      <c r="F527" s="9"/>
      <c r="G527" s="7"/>
      <c r="H527" s="36"/>
      <c r="I527" s="37"/>
      <c r="J527" s="6"/>
      <c r="K527" s="6"/>
      <c r="L527" s="6"/>
    </row>
    <row r="528" spans="2:12" ht="12.75">
      <c r="B528" s="6"/>
      <c r="C528" s="6"/>
      <c r="D528" s="8"/>
      <c r="E528" s="9"/>
      <c r="F528" s="9"/>
      <c r="G528" s="7"/>
      <c r="H528" s="36"/>
      <c r="I528" s="37"/>
      <c r="J528" s="6"/>
      <c r="K528" s="6"/>
      <c r="L528" s="6"/>
    </row>
    <row r="529" spans="2:12" ht="12.75">
      <c r="B529" s="6"/>
      <c r="C529" s="6"/>
      <c r="D529" s="8"/>
      <c r="E529" s="9"/>
      <c r="F529" s="9"/>
      <c r="G529" s="7"/>
      <c r="H529" s="36"/>
      <c r="I529" s="37"/>
      <c r="J529" s="6"/>
      <c r="K529" s="6"/>
      <c r="L529" s="6"/>
    </row>
    <row r="530" spans="2:12" ht="12.75">
      <c r="B530" s="6"/>
      <c r="C530" s="6"/>
      <c r="D530" s="8"/>
      <c r="E530" s="9"/>
      <c r="F530" s="9"/>
      <c r="G530" s="7"/>
      <c r="H530" s="36"/>
      <c r="I530" s="37"/>
      <c r="J530" s="6"/>
      <c r="K530" s="6"/>
      <c r="L530" s="6"/>
    </row>
    <row r="531" spans="2:12" ht="12.75">
      <c r="B531" s="6"/>
      <c r="C531" s="6"/>
      <c r="D531" s="8"/>
      <c r="E531" s="9"/>
      <c r="F531" s="9"/>
      <c r="G531" s="7"/>
      <c r="H531" s="36"/>
      <c r="I531" s="37"/>
      <c r="J531" s="6"/>
      <c r="K531" s="6"/>
      <c r="L531" s="6"/>
    </row>
    <row r="532" spans="2:12" ht="12.75">
      <c r="B532" s="6"/>
      <c r="C532" s="6"/>
      <c r="D532" s="8"/>
      <c r="E532" s="9"/>
      <c r="F532" s="9"/>
      <c r="G532" s="7"/>
      <c r="H532" s="36"/>
      <c r="I532" s="37"/>
      <c r="J532" s="6"/>
      <c r="K532" s="6"/>
      <c r="L532" s="6"/>
    </row>
    <row r="533" spans="2:12" ht="12.75">
      <c r="B533" s="6"/>
      <c r="C533" s="6"/>
      <c r="D533" s="8"/>
      <c r="E533" s="9"/>
      <c r="F533" s="9"/>
      <c r="G533" s="7"/>
      <c r="H533" s="36"/>
      <c r="I533" s="37"/>
      <c r="J533" s="6"/>
      <c r="K533" s="6"/>
      <c r="L533" s="6"/>
    </row>
    <row r="534" spans="2:12" ht="12.75">
      <c r="B534" s="6"/>
      <c r="C534" s="6"/>
      <c r="D534" s="8"/>
      <c r="E534" s="9"/>
      <c r="F534" s="9"/>
      <c r="G534" s="7"/>
      <c r="H534" s="36"/>
      <c r="I534" s="37"/>
      <c r="J534" s="6"/>
      <c r="K534" s="6"/>
      <c r="L534" s="6"/>
    </row>
    <row r="535" spans="2:12" ht="12.75">
      <c r="B535" s="6"/>
      <c r="C535" s="6"/>
      <c r="D535" s="8"/>
      <c r="E535" s="9"/>
      <c r="F535" s="9"/>
      <c r="G535" s="7"/>
      <c r="H535" s="36"/>
      <c r="I535" s="37"/>
      <c r="J535" s="6"/>
      <c r="K535" s="6"/>
      <c r="L535" s="6"/>
    </row>
    <row r="536" spans="2:12" ht="12.75">
      <c r="B536" s="6"/>
      <c r="C536" s="6"/>
      <c r="D536" s="8"/>
      <c r="E536" s="9"/>
      <c r="F536" s="9"/>
      <c r="G536" s="7"/>
      <c r="H536" s="36"/>
      <c r="I536" s="37"/>
      <c r="J536" s="6"/>
      <c r="K536" s="6"/>
      <c r="L536" s="6"/>
    </row>
    <row r="537" spans="2:12" ht="12.75">
      <c r="B537" s="6"/>
      <c r="C537" s="6"/>
      <c r="D537" s="8"/>
      <c r="E537" s="9"/>
      <c r="F537" s="9"/>
      <c r="G537" s="7"/>
      <c r="H537" s="36"/>
      <c r="I537" s="37"/>
      <c r="J537" s="6"/>
      <c r="K537" s="6"/>
      <c r="L537" s="6"/>
    </row>
    <row r="538" spans="2:12" ht="12.75">
      <c r="B538" s="6"/>
      <c r="C538" s="6"/>
      <c r="D538" s="8"/>
      <c r="E538" s="9"/>
      <c r="F538" s="9"/>
      <c r="G538" s="7"/>
      <c r="H538" s="36"/>
      <c r="I538" s="37"/>
      <c r="J538" s="6"/>
      <c r="K538" s="6"/>
      <c r="L538" s="6"/>
    </row>
    <row r="539" spans="2:12" ht="12.75">
      <c r="B539" s="6"/>
      <c r="C539" s="6"/>
      <c r="D539" s="8"/>
      <c r="E539" s="9"/>
      <c r="F539" s="9"/>
      <c r="G539" s="7"/>
      <c r="H539" s="36"/>
      <c r="I539" s="37"/>
      <c r="J539" s="6"/>
      <c r="K539" s="6"/>
      <c r="L539" s="6"/>
    </row>
    <row r="540" spans="2:12" ht="12.75">
      <c r="B540" s="6"/>
      <c r="C540" s="6"/>
      <c r="D540" s="8"/>
      <c r="E540" s="9"/>
      <c r="F540" s="9"/>
      <c r="G540" s="7"/>
      <c r="H540" s="36"/>
      <c r="I540" s="37"/>
      <c r="J540" s="6"/>
      <c r="K540" s="6"/>
      <c r="L540" s="6"/>
    </row>
    <row r="541" spans="2:12" ht="12.75">
      <c r="B541" s="6"/>
      <c r="C541" s="6"/>
      <c r="D541" s="8"/>
      <c r="E541" s="9"/>
      <c r="F541" s="9"/>
      <c r="G541" s="7"/>
      <c r="H541" s="36"/>
      <c r="I541" s="37"/>
      <c r="J541" s="6"/>
      <c r="K541" s="6"/>
      <c r="L541" s="6"/>
    </row>
    <row r="542" spans="2:12" ht="12.75">
      <c r="B542" s="6"/>
      <c r="C542" s="6"/>
      <c r="D542" s="8"/>
      <c r="E542" s="9"/>
      <c r="F542" s="9"/>
      <c r="G542" s="7"/>
      <c r="H542" s="36"/>
      <c r="I542" s="37"/>
      <c r="J542" s="6"/>
      <c r="K542" s="6"/>
      <c r="L542" s="6"/>
    </row>
    <row r="543" spans="2:12" ht="12.75">
      <c r="B543" s="6"/>
      <c r="C543" s="6"/>
      <c r="D543" s="8"/>
      <c r="E543" s="9"/>
      <c r="F543" s="9"/>
      <c r="G543" s="7"/>
      <c r="H543" s="36"/>
      <c r="I543" s="37"/>
      <c r="J543" s="6"/>
      <c r="K543" s="6"/>
      <c r="L543" s="6"/>
    </row>
    <row r="544" spans="2:12" ht="12.75">
      <c r="B544" s="6"/>
      <c r="C544" s="6"/>
      <c r="D544" s="8"/>
      <c r="E544" s="9"/>
      <c r="F544" s="9"/>
      <c r="G544" s="7"/>
      <c r="H544" s="36"/>
      <c r="I544" s="37"/>
      <c r="J544" s="6"/>
      <c r="K544" s="6"/>
      <c r="L544" s="6"/>
    </row>
    <row r="545" spans="2:12" ht="12.75">
      <c r="B545" s="6"/>
      <c r="C545" s="6"/>
      <c r="D545" s="8"/>
      <c r="E545" s="9"/>
      <c r="F545" s="9"/>
      <c r="G545" s="7"/>
      <c r="H545" s="36"/>
      <c r="I545" s="37"/>
      <c r="J545" s="6"/>
      <c r="K545" s="6"/>
      <c r="L545" s="6"/>
    </row>
    <row r="546" spans="2:12" ht="12.75">
      <c r="B546" s="6"/>
      <c r="C546" s="6"/>
      <c r="D546" s="8"/>
      <c r="E546" s="9"/>
      <c r="F546" s="9"/>
      <c r="G546" s="7"/>
      <c r="H546" s="36"/>
      <c r="I546" s="37"/>
      <c r="J546" s="6"/>
      <c r="K546" s="6"/>
      <c r="L546" s="6"/>
    </row>
    <row r="547" spans="2:12" ht="12.75">
      <c r="B547" s="6"/>
      <c r="C547" s="6"/>
      <c r="D547" s="8"/>
      <c r="E547" s="9"/>
      <c r="F547" s="9"/>
      <c r="G547" s="7"/>
      <c r="H547" s="36"/>
      <c r="I547" s="37"/>
      <c r="J547" s="6"/>
      <c r="K547" s="6"/>
      <c r="L547" s="6"/>
    </row>
    <row r="548" spans="2:12" ht="12.75">
      <c r="B548" s="6"/>
      <c r="C548" s="6"/>
      <c r="D548" s="8"/>
      <c r="E548" s="9"/>
      <c r="F548" s="9"/>
      <c r="G548" s="7"/>
      <c r="H548" s="36"/>
      <c r="I548" s="37"/>
      <c r="J548" s="6"/>
      <c r="K548" s="6"/>
      <c r="L548" s="6"/>
    </row>
    <row r="549" spans="2:12" ht="12.75">
      <c r="B549" s="6"/>
      <c r="C549" s="6"/>
      <c r="D549" s="8"/>
      <c r="E549" s="9"/>
      <c r="F549" s="9"/>
      <c r="G549" s="7"/>
      <c r="H549" s="36"/>
      <c r="I549" s="37"/>
      <c r="J549" s="6"/>
      <c r="K549" s="6"/>
      <c r="L549" s="6"/>
    </row>
    <row r="550" spans="2:12" ht="12.75">
      <c r="B550" s="6"/>
      <c r="C550" s="6"/>
      <c r="D550" s="8"/>
      <c r="E550" s="9"/>
      <c r="F550" s="9"/>
      <c r="G550" s="7"/>
      <c r="H550" s="36"/>
      <c r="I550" s="37"/>
      <c r="J550" s="6"/>
      <c r="K550" s="6"/>
      <c r="L550" s="6"/>
    </row>
    <row r="551" spans="2:12" ht="12.75">
      <c r="B551" s="6"/>
      <c r="C551" s="6"/>
      <c r="D551" s="8"/>
      <c r="E551" s="9"/>
      <c r="F551" s="9"/>
      <c r="G551" s="7"/>
      <c r="H551" s="36"/>
      <c r="I551" s="37"/>
      <c r="J551" s="6"/>
      <c r="K551" s="6"/>
      <c r="L551" s="6"/>
    </row>
    <row r="552" spans="2:12" ht="12.75">
      <c r="B552" s="6"/>
      <c r="C552" s="6"/>
      <c r="D552" s="8"/>
      <c r="E552" s="9"/>
      <c r="F552" s="9"/>
      <c r="G552" s="7"/>
      <c r="H552" s="36"/>
      <c r="I552" s="37"/>
      <c r="J552" s="6"/>
      <c r="K552" s="6"/>
      <c r="L552" s="6"/>
    </row>
    <row r="553" spans="2:12" ht="12.75">
      <c r="B553" s="6"/>
      <c r="C553" s="6"/>
      <c r="D553" s="8"/>
      <c r="E553" s="9"/>
      <c r="F553" s="9"/>
      <c r="G553" s="7"/>
      <c r="H553" s="36"/>
      <c r="I553" s="37"/>
      <c r="J553" s="6"/>
      <c r="K553" s="6"/>
      <c r="L553" s="6"/>
    </row>
    <row r="554" spans="2:12" ht="12.75">
      <c r="B554" s="6"/>
      <c r="C554" s="6"/>
      <c r="D554" s="8"/>
      <c r="E554" s="9"/>
      <c r="F554" s="9"/>
      <c r="G554" s="7"/>
      <c r="H554" s="36"/>
      <c r="I554" s="37"/>
      <c r="J554" s="6"/>
      <c r="K554" s="6"/>
      <c r="L554" s="6"/>
    </row>
    <row r="555" spans="2:12" ht="12.75">
      <c r="B555" s="6"/>
      <c r="C555" s="6"/>
      <c r="D555" s="8"/>
      <c r="E555" s="9"/>
      <c r="F555" s="9"/>
      <c r="G555" s="7"/>
      <c r="H555" s="36"/>
      <c r="I555" s="37"/>
      <c r="J555" s="6"/>
      <c r="K555" s="6"/>
      <c r="L555" s="6"/>
    </row>
    <row r="556" spans="2:12" ht="12.75">
      <c r="B556" s="6"/>
      <c r="C556" s="6"/>
      <c r="D556" s="8"/>
      <c r="E556" s="9"/>
      <c r="F556" s="9"/>
      <c r="G556" s="7"/>
      <c r="H556" s="36"/>
      <c r="I556" s="37"/>
      <c r="J556" s="6"/>
      <c r="K556" s="6"/>
      <c r="L556" s="6"/>
    </row>
    <row r="557" spans="2:12" ht="12.75">
      <c r="B557" s="6"/>
      <c r="C557" s="6"/>
      <c r="D557" s="8"/>
      <c r="E557" s="9"/>
      <c r="F557" s="9"/>
      <c r="G557" s="7"/>
      <c r="H557" s="36"/>
      <c r="I557" s="37"/>
      <c r="J557" s="6"/>
      <c r="K557" s="6"/>
      <c r="L557" s="6"/>
    </row>
    <row r="558" spans="2:12" ht="12.75">
      <c r="B558" s="6"/>
      <c r="C558" s="6"/>
      <c r="D558" s="8"/>
      <c r="E558" s="9"/>
      <c r="F558" s="9"/>
      <c r="G558" s="7"/>
      <c r="H558" s="36"/>
      <c r="I558" s="37"/>
      <c r="J558" s="6"/>
      <c r="K558" s="6"/>
      <c r="L558" s="6"/>
    </row>
    <row r="559" spans="2:12" ht="12.75">
      <c r="B559" s="6"/>
      <c r="C559" s="6"/>
      <c r="D559" s="8"/>
      <c r="E559" s="9"/>
      <c r="F559" s="9"/>
      <c r="G559" s="7"/>
      <c r="H559" s="36"/>
      <c r="I559" s="37"/>
      <c r="J559" s="6"/>
      <c r="K559" s="6"/>
      <c r="L559" s="6"/>
    </row>
    <row r="560" spans="2:12" ht="12.75">
      <c r="B560" s="6"/>
      <c r="C560" s="6"/>
      <c r="D560" s="8"/>
      <c r="E560" s="9"/>
      <c r="F560" s="9"/>
      <c r="G560" s="7"/>
      <c r="H560" s="36"/>
      <c r="I560" s="37"/>
      <c r="J560" s="6"/>
      <c r="K560" s="6"/>
      <c r="L560" s="6"/>
    </row>
    <row r="561" spans="2:12" ht="12.75">
      <c r="B561" s="6"/>
      <c r="C561" s="6"/>
      <c r="D561" s="8"/>
      <c r="E561" s="9"/>
      <c r="F561" s="9"/>
      <c r="G561" s="7"/>
      <c r="H561" s="36"/>
      <c r="I561" s="37"/>
      <c r="J561" s="6"/>
      <c r="K561" s="6"/>
      <c r="L561" s="6"/>
    </row>
    <row r="562" spans="2:12" ht="12.75">
      <c r="B562" s="6"/>
      <c r="C562" s="6"/>
      <c r="D562" s="8"/>
      <c r="E562" s="9"/>
      <c r="F562" s="9"/>
      <c r="G562" s="7"/>
      <c r="H562" s="36"/>
      <c r="I562" s="37"/>
      <c r="J562" s="6"/>
      <c r="K562" s="6"/>
      <c r="L562" s="6"/>
    </row>
    <row r="563" spans="2:12" ht="12.75">
      <c r="B563" s="6"/>
      <c r="C563" s="6"/>
      <c r="D563" s="8"/>
      <c r="E563" s="9"/>
      <c r="F563" s="9"/>
      <c r="G563" s="7"/>
      <c r="H563" s="36"/>
      <c r="I563" s="37"/>
      <c r="J563" s="6"/>
      <c r="K563" s="6"/>
      <c r="L563" s="6"/>
    </row>
    <row r="564" spans="2:12" ht="12.75">
      <c r="B564" s="6"/>
      <c r="C564" s="6"/>
      <c r="D564" s="8"/>
      <c r="E564" s="9"/>
      <c r="F564" s="9"/>
      <c r="G564" s="7"/>
      <c r="H564" s="36"/>
      <c r="I564" s="37"/>
      <c r="J564" s="6"/>
      <c r="K564" s="6"/>
      <c r="L564" s="6"/>
    </row>
    <row r="565" spans="2:12" ht="12.75">
      <c r="B565" s="6"/>
      <c r="C565" s="6"/>
      <c r="D565" s="8"/>
      <c r="E565" s="9"/>
      <c r="F565" s="9"/>
      <c r="G565" s="7"/>
      <c r="H565" s="36"/>
      <c r="I565" s="37"/>
      <c r="J565" s="6"/>
      <c r="K565" s="6"/>
      <c r="L565" s="6"/>
    </row>
    <row r="566" spans="2:12" ht="12.75">
      <c r="B566" s="6"/>
      <c r="C566" s="6"/>
      <c r="D566" s="8"/>
      <c r="E566" s="9"/>
      <c r="F566" s="9"/>
      <c r="G566" s="7"/>
      <c r="H566" s="36"/>
      <c r="I566" s="37"/>
      <c r="J566" s="6"/>
      <c r="K566" s="6"/>
      <c r="L566" s="6"/>
    </row>
    <row r="567" spans="2:12" ht="12.75">
      <c r="B567" s="6"/>
      <c r="C567" s="6"/>
      <c r="D567" s="8"/>
      <c r="E567" s="9"/>
      <c r="F567" s="9"/>
      <c r="G567" s="7"/>
      <c r="H567" s="36"/>
      <c r="I567" s="37"/>
      <c r="J567" s="6"/>
      <c r="K567" s="6"/>
      <c r="L567" s="6"/>
    </row>
    <row r="568" spans="2:12" ht="12.75">
      <c r="B568" s="6"/>
      <c r="C568" s="6"/>
      <c r="D568" s="8"/>
      <c r="E568" s="9"/>
      <c r="F568" s="9"/>
      <c r="G568" s="7"/>
      <c r="H568" s="36"/>
      <c r="I568" s="37"/>
      <c r="J568" s="6"/>
      <c r="K568" s="6"/>
      <c r="L568" s="6"/>
    </row>
    <row r="569" spans="2:12" ht="12.75">
      <c r="B569" s="6"/>
      <c r="C569" s="6"/>
      <c r="D569" s="8"/>
      <c r="E569" s="9"/>
      <c r="F569" s="9"/>
      <c r="G569" s="7"/>
      <c r="H569" s="36"/>
      <c r="I569" s="37"/>
      <c r="J569" s="6"/>
      <c r="K569" s="6"/>
      <c r="L569" s="6"/>
    </row>
    <row r="570" spans="2:12" ht="12.75">
      <c r="B570" s="6"/>
      <c r="C570" s="6"/>
      <c r="D570" s="8"/>
      <c r="E570" s="9"/>
      <c r="F570" s="9"/>
      <c r="G570" s="7"/>
      <c r="H570" s="36"/>
      <c r="I570" s="37"/>
      <c r="J570" s="6"/>
      <c r="K570" s="6"/>
      <c r="L570" s="6"/>
    </row>
    <row r="571" spans="2:12" ht="12.75">
      <c r="B571" s="6"/>
      <c r="C571" s="6"/>
      <c r="D571" s="8"/>
      <c r="E571" s="9"/>
      <c r="F571" s="9"/>
      <c r="G571" s="7"/>
      <c r="H571" s="36"/>
      <c r="I571" s="37"/>
      <c r="J571" s="6"/>
      <c r="K571" s="6"/>
      <c r="L571" s="6"/>
    </row>
    <row r="572" spans="2:12" ht="12.75">
      <c r="B572" s="6"/>
      <c r="C572" s="6"/>
      <c r="D572" s="8"/>
      <c r="E572" s="9"/>
      <c r="F572" s="9"/>
      <c r="G572" s="7"/>
      <c r="H572" s="36"/>
      <c r="I572" s="37"/>
      <c r="J572" s="6"/>
      <c r="K572" s="6"/>
      <c r="L572" s="6"/>
    </row>
    <row r="573" spans="2:12" ht="12.75">
      <c r="B573" s="6"/>
      <c r="C573" s="6"/>
      <c r="D573" s="8"/>
      <c r="E573" s="9"/>
      <c r="F573" s="9"/>
      <c r="G573" s="7"/>
      <c r="H573" s="36"/>
      <c r="I573" s="37"/>
      <c r="J573" s="6"/>
      <c r="K573" s="6"/>
      <c r="L573" s="6"/>
    </row>
    <row r="574" spans="2:12" ht="12.75">
      <c r="B574" s="6"/>
      <c r="C574" s="6"/>
      <c r="D574" s="8"/>
      <c r="E574" s="9"/>
      <c r="F574" s="9"/>
      <c r="G574" s="7"/>
      <c r="H574" s="36"/>
      <c r="I574" s="37"/>
      <c r="J574" s="6"/>
      <c r="K574" s="6"/>
      <c r="L574" s="6"/>
    </row>
    <row r="575" spans="2:12" ht="12.75">
      <c r="B575" s="6"/>
      <c r="C575" s="6"/>
      <c r="D575" s="8"/>
      <c r="E575" s="9"/>
      <c r="F575" s="9"/>
      <c r="G575" s="7"/>
      <c r="H575" s="36"/>
      <c r="I575" s="37"/>
      <c r="J575" s="6"/>
      <c r="K575" s="6"/>
      <c r="L575" s="6"/>
    </row>
    <row r="576" spans="2:12" ht="12.75">
      <c r="B576" s="6"/>
      <c r="C576" s="6"/>
      <c r="D576" s="8"/>
      <c r="E576" s="9"/>
      <c r="F576" s="9"/>
      <c r="G576" s="7"/>
      <c r="H576" s="36"/>
      <c r="I576" s="37"/>
      <c r="J576" s="6"/>
      <c r="K576" s="6"/>
      <c r="L576" s="6"/>
    </row>
    <row r="577" spans="2:12" ht="12.75">
      <c r="B577" s="6"/>
      <c r="C577" s="6"/>
      <c r="D577" s="8"/>
      <c r="E577" s="9"/>
      <c r="F577" s="9"/>
      <c r="G577" s="7"/>
      <c r="H577" s="36"/>
      <c r="I577" s="37"/>
      <c r="J577" s="6"/>
      <c r="K577" s="6"/>
      <c r="L577" s="6"/>
    </row>
    <row r="578" spans="2:12" ht="12.75">
      <c r="B578" s="6"/>
      <c r="C578" s="6"/>
      <c r="D578" s="8"/>
      <c r="E578" s="9"/>
      <c r="F578" s="9"/>
      <c r="G578" s="7"/>
      <c r="H578" s="36"/>
      <c r="I578" s="37"/>
      <c r="J578" s="6"/>
      <c r="K578" s="6"/>
      <c r="L578" s="6"/>
    </row>
    <row r="579" spans="2:12" ht="12.75">
      <c r="B579" s="6"/>
      <c r="C579" s="6"/>
      <c r="D579" s="8"/>
      <c r="E579" s="9"/>
      <c r="F579" s="9"/>
      <c r="G579" s="7"/>
      <c r="H579" s="36"/>
      <c r="I579" s="37"/>
      <c r="J579" s="6"/>
      <c r="K579" s="6"/>
      <c r="L579" s="6"/>
    </row>
    <row r="580" spans="2:12" ht="12.75">
      <c r="B580" s="6"/>
      <c r="C580" s="6"/>
      <c r="D580" s="8"/>
      <c r="E580" s="9"/>
      <c r="F580" s="9"/>
      <c r="G580" s="7"/>
      <c r="H580" s="36"/>
      <c r="I580" s="37"/>
      <c r="J580" s="6"/>
      <c r="K580" s="6"/>
      <c r="L580" s="6"/>
    </row>
    <row r="581" spans="2:12" ht="12.75">
      <c r="B581" s="6"/>
      <c r="C581" s="6"/>
      <c r="D581" s="8"/>
      <c r="E581" s="9"/>
      <c r="F581" s="9"/>
      <c r="G581" s="7"/>
      <c r="H581" s="36"/>
      <c r="I581" s="37"/>
      <c r="J581" s="6"/>
      <c r="K581" s="6"/>
      <c r="L581" s="6"/>
    </row>
    <row r="582" spans="2:12" ht="12.75">
      <c r="B582" s="6"/>
      <c r="C582" s="6"/>
      <c r="D582" s="8"/>
      <c r="E582" s="9"/>
      <c r="F582" s="9"/>
      <c r="G582" s="7"/>
      <c r="H582" s="36"/>
      <c r="I582" s="37"/>
      <c r="J582" s="6"/>
      <c r="K582" s="6"/>
      <c r="L582" s="6"/>
    </row>
    <row r="583" spans="2:12" ht="12.75">
      <c r="B583" s="6"/>
      <c r="C583" s="6"/>
      <c r="D583" s="8"/>
      <c r="E583" s="9"/>
      <c r="F583" s="9"/>
      <c r="G583" s="7"/>
      <c r="H583" s="36"/>
      <c r="I583" s="37"/>
      <c r="J583" s="6"/>
      <c r="K583" s="6"/>
      <c r="L583" s="6"/>
    </row>
    <row r="584" spans="2:12" ht="12.75">
      <c r="B584" s="6"/>
      <c r="C584" s="6"/>
      <c r="D584" s="8"/>
      <c r="E584" s="9"/>
      <c r="F584" s="9"/>
      <c r="G584" s="7"/>
      <c r="H584" s="36"/>
      <c r="I584" s="37"/>
      <c r="J584" s="6"/>
      <c r="K584" s="6"/>
      <c r="L584" s="6"/>
    </row>
    <row r="585" spans="2:12" ht="12.75">
      <c r="B585" s="6"/>
      <c r="C585" s="6"/>
      <c r="D585" s="8"/>
      <c r="E585" s="9"/>
      <c r="F585" s="9"/>
      <c r="G585" s="7"/>
      <c r="H585" s="36"/>
      <c r="I585" s="37"/>
      <c r="J585" s="6"/>
      <c r="K585" s="6"/>
      <c r="L585" s="6"/>
    </row>
    <row r="586" spans="2:12" ht="12.75">
      <c r="B586" s="6"/>
      <c r="C586" s="6"/>
      <c r="D586" s="8"/>
      <c r="E586" s="9"/>
      <c r="F586" s="9"/>
      <c r="G586" s="7"/>
      <c r="H586" s="36"/>
      <c r="I586" s="37"/>
      <c r="J586" s="6"/>
      <c r="K586" s="6"/>
      <c r="L586" s="6"/>
    </row>
    <row r="587" spans="2:12" ht="12.75">
      <c r="B587" s="6"/>
      <c r="C587" s="6"/>
      <c r="D587" s="8"/>
      <c r="E587" s="9"/>
      <c r="F587" s="9"/>
      <c r="G587" s="7"/>
      <c r="H587" s="36"/>
      <c r="I587" s="37"/>
      <c r="J587" s="6"/>
      <c r="K587" s="6"/>
      <c r="L587" s="6"/>
    </row>
    <row r="588" spans="2:12" ht="12.75">
      <c r="B588" s="6"/>
      <c r="C588" s="6"/>
      <c r="D588" s="8"/>
      <c r="E588" s="9"/>
      <c r="F588" s="9"/>
      <c r="G588" s="7"/>
      <c r="H588" s="36"/>
      <c r="I588" s="37"/>
      <c r="J588" s="6"/>
      <c r="K588" s="6"/>
      <c r="L588" s="6"/>
    </row>
    <row r="589" spans="2:12" ht="12.75">
      <c r="B589" s="6"/>
      <c r="C589" s="6"/>
      <c r="D589" s="8"/>
      <c r="E589" s="9"/>
      <c r="F589" s="9"/>
      <c r="G589" s="7"/>
      <c r="H589" s="36"/>
      <c r="I589" s="37"/>
      <c r="J589" s="6"/>
      <c r="K589" s="6"/>
      <c r="L589" s="6"/>
    </row>
    <row r="590" spans="2:12" ht="12.75">
      <c r="B590" s="6"/>
      <c r="C590" s="6"/>
      <c r="D590" s="8"/>
      <c r="E590" s="9"/>
      <c r="F590" s="9"/>
      <c r="G590" s="7"/>
      <c r="H590" s="36"/>
      <c r="I590" s="37"/>
      <c r="J590" s="6"/>
      <c r="K590" s="6"/>
      <c r="L590" s="6"/>
    </row>
    <row r="591" spans="2:12" ht="12.75">
      <c r="B591" s="6"/>
      <c r="C591" s="6"/>
      <c r="D591" s="8"/>
      <c r="E591" s="9"/>
      <c r="F591" s="9"/>
      <c r="G591" s="7"/>
      <c r="H591" s="36"/>
      <c r="I591" s="37"/>
      <c r="J591" s="6"/>
      <c r="K591" s="6"/>
      <c r="L591" s="6"/>
    </row>
    <row r="592" spans="2:12" ht="12.75">
      <c r="B592" s="6"/>
      <c r="C592" s="6"/>
      <c r="D592" s="8"/>
      <c r="E592" s="9"/>
      <c r="F592" s="9"/>
      <c r="G592" s="7"/>
      <c r="H592" s="36"/>
      <c r="I592" s="37"/>
      <c r="J592" s="6"/>
      <c r="K592" s="6"/>
      <c r="L592" s="6"/>
    </row>
    <row r="593" spans="2:12" ht="12.75">
      <c r="B593" s="6"/>
      <c r="C593" s="6"/>
      <c r="D593" s="8"/>
      <c r="E593" s="9"/>
      <c r="F593" s="9"/>
      <c r="G593" s="7"/>
      <c r="H593" s="36"/>
      <c r="I593" s="37"/>
      <c r="J593" s="6"/>
      <c r="K593" s="6"/>
      <c r="L593" s="6"/>
    </row>
    <row r="594" spans="2:12" ht="12.75">
      <c r="B594" s="6"/>
      <c r="C594" s="6"/>
      <c r="D594" s="8"/>
      <c r="E594" s="9"/>
      <c r="F594" s="9"/>
      <c r="G594" s="7"/>
      <c r="H594" s="36"/>
      <c r="I594" s="37"/>
      <c r="J594" s="6"/>
      <c r="K594" s="6"/>
      <c r="L594" s="6"/>
    </row>
    <row r="595" spans="2:12" ht="12.75">
      <c r="B595" s="6"/>
      <c r="C595" s="6"/>
      <c r="D595" s="8"/>
      <c r="E595" s="9"/>
      <c r="F595" s="9"/>
      <c r="G595" s="7"/>
      <c r="H595" s="36"/>
      <c r="I595" s="37"/>
      <c r="J595" s="6"/>
      <c r="K595" s="6"/>
      <c r="L595" s="6"/>
    </row>
    <row r="596" spans="2:12" ht="12.75">
      <c r="B596" s="6"/>
      <c r="C596" s="6"/>
      <c r="D596" s="8"/>
      <c r="E596" s="9"/>
      <c r="F596" s="9"/>
      <c r="G596" s="7"/>
      <c r="H596" s="36"/>
      <c r="I596" s="37"/>
      <c r="J596" s="6"/>
      <c r="K596" s="6"/>
      <c r="L596" s="6"/>
    </row>
    <row r="597" spans="2:12" ht="12.75">
      <c r="B597" s="6"/>
      <c r="C597" s="6"/>
      <c r="D597" s="8"/>
      <c r="E597" s="9"/>
      <c r="F597" s="9"/>
      <c r="G597" s="7"/>
      <c r="H597" s="36"/>
      <c r="I597" s="37"/>
      <c r="J597" s="6"/>
      <c r="K597" s="6"/>
      <c r="L597" s="6"/>
    </row>
    <row r="598" spans="2:12" ht="12.75">
      <c r="B598" s="6"/>
      <c r="C598" s="6"/>
      <c r="D598" s="8"/>
      <c r="E598" s="9"/>
      <c r="F598" s="9"/>
      <c r="G598" s="7"/>
      <c r="H598" s="36"/>
      <c r="I598" s="37"/>
      <c r="J598" s="6"/>
      <c r="K598" s="6"/>
      <c r="L598" s="6"/>
    </row>
    <row r="599" spans="2:12" ht="12.75">
      <c r="B599" s="6"/>
      <c r="C599" s="6"/>
      <c r="D599" s="8"/>
      <c r="E599" s="9"/>
      <c r="F599" s="9"/>
      <c r="G599" s="7"/>
      <c r="H599" s="36"/>
      <c r="I599" s="37"/>
      <c r="J599" s="6"/>
      <c r="K599" s="6"/>
      <c r="L599" s="6"/>
    </row>
    <row r="600" spans="2:12" ht="12.75">
      <c r="B600" s="6"/>
      <c r="C600" s="6"/>
      <c r="D600" s="8"/>
      <c r="E600" s="9"/>
      <c r="F600" s="9"/>
      <c r="G600" s="7"/>
      <c r="H600" s="36"/>
      <c r="I600" s="37"/>
      <c r="J600" s="6"/>
      <c r="K600" s="6"/>
      <c r="L600" s="6"/>
    </row>
    <row r="601" spans="2:12" ht="12.75">
      <c r="B601" s="6"/>
      <c r="C601" s="6"/>
      <c r="D601" s="8"/>
      <c r="E601" s="9"/>
      <c r="F601" s="9"/>
      <c r="G601" s="7"/>
      <c r="H601" s="36"/>
      <c r="I601" s="37"/>
      <c r="J601" s="6"/>
      <c r="K601" s="6"/>
      <c r="L601" s="6"/>
    </row>
    <row r="602" spans="2:12" ht="12.75">
      <c r="B602" s="6"/>
      <c r="C602" s="6"/>
      <c r="D602" s="8"/>
      <c r="E602" s="9"/>
      <c r="F602" s="9"/>
      <c r="G602" s="7"/>
      <c r="H602" s="36"/>
      <c r="I602" s="37"/>
      <c r="J602" s="6"/>
      <c r="K602" s="6"/>
      <c r="L602" s="6"/>
    </row>
    <row r="603" spans="2:12" ht="12.75">
      <c r="B603" s="6"/>
      <c r="C603" s="6"/>
      <c r="D603" s="8"/>
      <c r="E603" s="9"/>
      <c r="F603" s="9"/>
      <c r="G603" s="7"/>
      <c r="H603" s="36"/>
      <c r="I603" s="37"/>
      <c r="J603" s="6"/>
      <c r="K603" s="6"/>
      <c r="L603" s="6"/>
    </row>
    <row r="604" spans="2:12" ht="12.75">
      <c r="B604" s="6"/>
      <c r="C604" s="6"/>
      <c r="D604" s="8"/>
      <c r="E604" s="9"/>
      <c r="F604" s="9"/>
      <c r="G604" s="7"/>
      <c r="H604" s="36"/>
      <c r="I604" s="37"/>
      <c r="J604" s="6"/>
      <c r="K604" s="6"/>
      <c r="L604" s="6"/>
    </row>
    <row r="605" spans="2:12" ht="12.75">
      <c r="B605" s="6"/>
      <c r="C605" s="6"/>
      <c r="D605" s="8"/>
      <c r="E605" s="9"/>
      <c r="F605" s="9"/>
      <c r="G605" s="7"/>
      <c r="H605" s="36"/>
      <c r="I605" s="37"/>
      <c r="J605" s="6"/>
      <c r="K605" s="6"/>
      <c r="L605" s="6"/>
    </row>
    <row r="606" spans="2:12" ht="12.75">
      <c r="B606" s="6"/>
      <c r="C606" s="6"/>
      <c r="D606" s="8"/>
      <c r="E606" s="9"/>
      <c r="F606" s="9"/>
      <c r="G606" s="7"/>
      <c r="H606" s="36"/>
      <c r="I606" s="37"/>
      <c r="J606" s="6"/>
      <c r="K606" s="6"/>
      <c r="L606" s="6"/>
    </row>
    <row r="607" spans="2:12" ht="12.75">
      <c r="B607" s="6"/>
      <c r="C607" s="6"/>
      <c r="D607" s="8"/>
      <c r="E607" s="9"/>
      <c r="F607" s="9"/>
      <c r="G607" s="7"/>
      <c r="H607" s="36"/>
      <c r="I607" s="37"/>
      <c r="J607" s="6"/>
      <c r="K607" s="6"/>
      <c r="L607" s="6"/>
    </row>
    <row r="608" spans="2:12" ht="12.75">
      <c r="B608" s="6"/>
      <c r="C608" s="6"/>
      <c r="D608" s="8"/>
      <c r="E608" s="9"/>
      <c r="F608" s="9"/>
      <c r="G608" s="7"/>
      <c r="H608" s="36"/>
      <c r="I608" s="37"/>
      <c r="J608" s="6"/>
      <c r="K608" s="6"/>
      <c r="L608" s="6"/>
    </row>
    <row r="609" spans="2:12" ht="12.75">
      <c r="B609" s="6"/>
      <c r="C609" s="6"/>
      <c r="D609" s="8"/>
      <c r="E609" s="9"/>
      <c r="F609" s="9"/>
      <c r="G609" s="7"/>
      <c r="H609" s="36"/>
      <c r="I609" s="37"/>
      <c r="J609" s="6"/>
      <c r="K609" s="6"/>
      <c r="L609" s="6"/>
    </row>
    <row r="610" spans="2:12" ht="12.75">
      <c r="B610" s="6"/>
      <c r="C610" s="6"/>
      <c r="D610" s="8"/>
      <c r="E610" s="9"/>
      <c r="F610" s="9"/>
      <c r="G610" s="7"/>
      <c r="H610" s="36"/>
      <c r="I610" s="37"/>
      <c r="J610" s="6"/>
      <c r="K610" s="6"/>
      <c r="L610" s="6"/>
    </row>
    <row r="611" spans="2:12" ht="12.75">
      <c r="B611" s="6"/>
      <c r="C611" s="6"/>
      <c r="D611" s="8"/>
      <c r="E611" s="9"/>
      <c r="F611" s="9"/>
      <c r="G611" s="7"/>
      <c r="H611" s="36"/>
      <c r="I611" s="37"/>
      <c r="J611" s="6"/>
      <c r="K611" s="6"/>
      <c r="L611" s="6"/>
    </row>
    <row r="612" spans="2:12" ht="12.75">
      <c r="B612" s="6"/>
      <c r="C612" s="6"/>
      <c r="D612" s="8"/>
      <c r="E612" s="9"/>
      <c r="F612" s="9"/>
      <c r="G612" s="7"/>
      <c r="H612" s="36"/>
      <c r="I612" s="37"/>
      <c r="J612" s="6"/>
      <c r="K612" s="6"/>
      <c r="L612" s="6"/>
    </row>
    <row r="613" spans="2:12" ht="12.75">
      <c r="B613" s="6"/>
      <c r="C613" s="6"/>
      <c r="D613" s="8"/>
      <c r="E613" s="9"/>
      <c r="F613" s="9"/>
      <c r="G613" s="7"/>
      <c r="H613" s="36"/>
      <c r="I613" s="37"/>
      <c r="J613" s="6"/>
      <c r="K613" s="6"/>
      <c r="L613" s="6"/>
    </row>
    <row r="614" spans="2:12" ht="12.75">
      <c r="B614" s="6"/>
      <c r="C614" s="6"/>
      <c r="D614" s="8"/>
      <c r="E614" s="9"/>
      <c r="F614" s="9"/>
      <c r="G614" s="7"/>
      <c r="H614" s="36"/>
      <c r="I614" s="37"/>
      <c r="J614" s="6"/>
      <c r="K614" s="6"/>
      <c r="L614" s="6"/>
    </row>
    <row r="615" spans="2:12" ht="12.75">
      <c r="B615" s="6"/>
      <c r="C615" s="6"/>
      <c r="D615" s="8"/>
      <c r="E615" s="9"/>
      <c r="F615" s="9"/>
      <c r="G615" s="7"/>
      <c r="H615" s="36"/>
      <c r="I615" s="37"/>
      <c r="J615" s="6"/>
      <c r="K615" s="6"/>
      <c r="L615" s="6"/>
    </row>
    <row r="616" spans="2:12" ht="12.75">
      <c r="B616" s="6"/>
      <c r="C616" s="6"/>
      <c r="D616" s="8"/>
      <c r="E616" s="9"/>
      <c r="F616" s="9"/>
      <c r="G616" s="7"/>
      <c r="H616" s="36"/>
      <c r="I616" s="37"/>
      <c r="J616" s="6"/>
      <c r="K616" s="6"/>
      <c r="L616" s="6"/>
    </row>
    <row r="617" spans="2:12" ht="12.75">
      <c r="B617" s="6"/>
      <c r="C617" s="6"/>
      <c r="D617" s="8"/>
      <c r="E617" s="9"/>
      <c r="F617" s="9"/>
      <c r="G617" s="7"/>
      <c r="H617" s="36"/>
      <c r="I617" s="37"/>
      <c r="J617" s="6"/>
      <c r="K617" s="6"/>
      <c r="L617" s="6"/>
    </row>
    <row r="618" spans="2:12" ht="12.75">
      <c r="B618" s="6"/>
      <c r="C618" s="6"/>
      <c r="D618" s="8"/>
      <c r="E618" s="9"/>
      <c r="F618" s="9"/>
      <c r="G618" s="7"/>
      <c r="H618" s="36"/>
      <c r="I618" s="37"/>
      <c r="J618" s="6"/>
      <c r="K618" s="6"/>
      <c r="L618" s="6"/>
    </row>
    <row r="619" spans="2:12" ht="12.75">
      <c r="B619" s="6"/>
      <c r="C619" s="6"/>
      <c r="D619" s="8"/>
      <c r="E619" s="9"/>
      <c r="F619" s="9"/>
      <c r="G619" s="7"/>
      <c r="H619" s="36"/>
      <c r="I619" s="37"/>
      <c r="J619" s="6"/>
      <c r="K619" s="6"/>
      <c r="L619" s="6"/>
    </row>
    <row r="620" spans="2:12" ht="12.75">
      <c r="B620" s="6"/>
      <c r="C620" s="6"/>
      <c r="D620" s="8"/>
      <c r="E620" s="9"/>
      <c r="F620" s="9"/>
      <c r="G620" s="7"/>
      <c r="H620" s="36"/>
      <c r="I620" s="37"/>
      <c r="J620" s="6"/>
      <c r="K620" s="6"/>
      <c r="L620" s="6"/>
    </row>
    <row r="621" spans="2:12" ht="12.75">
      <c r="B621" s="6"/>
      <c r="C621" s="6"/>
      <c r="D621" s="8"/>
      <c r="E621" s="9"/>
      <c r="F621" s="9"/>
      <c r="G621" s="7"/>
      <c r="H621" s="36"/>
      <c r="I621" s="37"/>
      <c r="J621" s="6"/>
      <c r="K621" s="6"/>
      <c r="L621" s="6"/>
    </row>
    <row r="622" spans="2:12" ht="12.75">
      <c r="B622" s="6"/>
      <c r="C622" s="6"/>
      <c r="D622" s="8"/>
      <c r="E622" s="9"/>
      <c r="F622" s="9"/>
      <c r="G622" s="7"/>
      <c r="H622" s="36"/>
      <c r="I622" s="37"/>
      <c r="J622" s="6"/>
      <c r="K622" s="6"/>
      <c r="L622" s="6"/>
    </row>
    <row r="623" spans="2:12" ht="12.75">
      <c r="B623" s="6"/>
      <c r="C623" s="6"/>
      <c r="D623" s="8"/>
      <c r="E623" s="9"/>
      <c r="F623" s="9"/>
      <c r="G623" s="7"/>
      <c r="H623" s="36"/>
      <c r="I623" s="37"/>
      <c r="J623" s="6"/>
      <c r="K623" s="6"/>
      <c r="L623" s="6"/>
    </row>
    <row r="624" spans="2:12" ht="12.75">
      <c r="B624" s="6"/>
      <c r="C624" s="6"/>
      <c r="D624" s="8"/>
      <c r="E624" s="9"/>
      <c r="F624" s="9"/>
      <c r="G624" s="7"/>
      <c r="H624" s="36"/>
      <c r="I624" s="37"/>
      <c r="J624" s="6"/>
      <c r="K624" s="6"/>
      <c r="L624" s="6"/>
    </row>
    <row r="625" spans="2:12" ht="12.75">
      <c r="B625" s="6"/>
      <c r="C625" s="6"/>
      <c r="D625" s="8"/>
      <c r="E625" s="9"/>
      <c r="F625" s="9"/>
      <c r="G625" s="7"/>
      <c r="H625" s="36"/>
      <c r="I625" s="37"/>
      <c r="J625" s="6"/>
      <c r="K625" s="6"/>
      <c r="L625" s="6"/>
    </row>
    <row r="626" spans="2:12" ht="12.75">
      <c r="B626" s="6"/>
      <c r="C626" s="6"/>
      <c r="D626" s="8"/>
      <c r="E626" s="9"/>
      <c r="F626" s="9"/>
      <c r="G626" s="7"/>
      <c r="H626" s="36"/>
      <c r="I626" s="37"/>
      <c r="J626" s="6"/>
      <c r="K626" s="6"/>
      <c r="L626" s="6"/>
    </row>
    <row r="627" spans="2:12" ht="12.75">
      <c r="B627" s="6"/>
      <c r="C627" s="6"/>
      <c r="D627" s="8"/>
      <c r="E627" s="9"/>
      <c r="F627" s="9"/>
      <c r="G627" s="7"/>
      <c r="H627" s="36"/>
      <c r="I627" s="37"/>
      <c r="J627" s="6"/>
      <c r="K627" s="6"/>
      <c r="L627" s="6"/>
    </row>
    <row r="628" spans="2:12" ht="12.75">
      <c r="B628" s="6"/>
      <c r="C628" s="6"/>
      <c r="D628" s="8"/>
      <c r="E628" s="9"/>
      <c r="F628" s="9"/>
      <c r="G628" s="7"/>
      <c r="H628" s="36"/>
      <c r="I628" s="37"/>
      <c r="J628" s="6"/>
      <c r="K628" s="6"/>
      <c r="L628" s="6"/>
    </row>
    <row r="629" spans="2:12" ht="12.75">
      <c r="B629" s="6"/>
      <c r="C629" s="6"/>
      <c r="D629" s="8"/>
      <c r="E629" s="9"/>
      <c r="F629" s="9"/>
      <c r="G629" s="7"/>
      <c r="H629" s="36"/>
      <c r="I629" s="37"/>
      <c r="J629" s="6"/>
      <c r="K629" s="6"/>
      <c r="L629" s="6"/>
    </row>
    <row r="630" spans="2:12" ht="12.75">
      <c r="B630" s="6"/>
      <c r="C630" s="6"/>
      <c r="D630" s="8"/>
      <c r="E630" s="9"/>
      <c r="F630" s="9"/>
      <c r="G630" s="7"/>
      <c r="H630" s="36"/>
      <c r="I630" s="37"/>
      <c r="J630" s="6"/>
      <c r="K630" s="6"/>
      <c r="L630" s="6"/>
    </row>
    <row r="631" spans="2:12" ht="12.75">
      <c r="B631" s="6"/>
      <c r="C631" s="6"/>
      <c r="D631" s="8"/>
      <c r="E631" s="9"/>
      <c r="F631" s="9"/>
      <c r="G631" s="7"/>
      <c r="H631" s="36"/>
      <c r="I631" s="37"/>
      <c r="J631" s="6"/>
      <c r="K631" s="6"/>
      <c r="L631" s="6"/>
    </row>
    <row r="632" spans="2:12" ht="12.75">
      <c r="B632" s="6"/>
      <c r="C632" s="6"/>
      <c r="D632" s="8"/>
      <c r="E632" s="9"/>
      <c r="F632" s="9"/>
      <c r="G632" s="7"/>
      <c r="H632" s="36"/>
      <c r="I632" s="37"/>
      <c r="J632" s="6"/>
      <c r="K632" s="6"/>
      <c r="L632" s="6"/>
    </row>
    <row r="633" spans="2:12" ht="12.75">
      <c r="B633" s="6"/>
      <c r="C633" s="6"/>
      <c r="D633" s="8"/>
      <c r="E633" s="9"/>
      <c r="F633" s="9"/>
      <c r="G633" s="7"/>
      <c r="H633" s="36"/>
      <c r="I633" s="37"/>
      <c r="J633" s="6"/>
      <c r="K633" s="6"/>
      <c r="L633" s="6"/>
    </row>
    <row r="634" spans="2:12" ht="12.75">
      <c r="B634" s="6"/>
      <c r="C634" s="6"/>
      <c r="D634" s="8"/>
      <c r="E634" s="9"/>
      <c r="F634" s="9"/>
      <c r="G634" s="7"/>
      <c r="H634" s="36"/>
      <c r="I634" s="37"/>
      <c r="J634" s="6"/>
      <c r="K634" s="6"/>
      <c r="L634" s="6"/>
    </row>
    <row r="635" spans="2:12" ht="12.75">
      <c r="B635" s="6"/>
      <c r="C635" s="6"/>
      <c r="D635" s="8"/>
      <c r="E635" s="9"/>
      <c r="F635" s="9"/>
      <c r="G635" s="7"/>
      <c r="H635" s="36"/>
      <c r="I635" s="37"/>
      <c r="J635" s="6"/>
      <c r="K635" s="6"/>
      <c r="L635" s="6"/>
    </row>
    <row r="636" spans="2:12" ht="12.75">
      <c r="B636" s="6"/>
      <c r="C636" s="6"/>
      <c r="D636" s="8"/>
      <c r="E636" s="9"/>
      <c r="F636" s="9"/>
      <c r="G636" s="7"/>
      <c r="H636" s="36"/>
      <c r="I636" s="37"/>
      <c r="J636" s="6"/>
      <c r="K636" s="6"/>
      <c r="L636" s="6"/>
    </row>
    <row r="637" spans="2:12" ht="12.75">
      <c r="B637" s="6"/>
      <c r="C637" s="6"/>
      <c r="D637" s="8"/>
      <c r="E637" s="9"/>
      <c r="F637" s="9"/>
      <c r="G637" s="7"/>
      <c r="H637" s="36"/>
      <c r="I637" s="37"/>
      <c r="J637" s="6"/>
      <c r="K637" s="6"/>
      <c r="L637" s="6"/>
    </row>
    <row r="638" spans="2:12" ht="12.75">
      <c r="B638" s="6"/>
      <c r="C638" s="6"/>
      <c r="D638" s="8"/>
      <c r="E638" s="9"/>
      <c r="F638" s="9"/>
      <c r="G638" s="7"/>
      <c r="H638" s="36"/>
      <c r="I638" s="37"/>
      <c r="J638" s="6"/>
      <c r="K638" s="6"/>
      <c r="L638" s="6"/>
    </row>
    <row r="639" spans="2:12" ht="12.75">
      <c r="B639" s="6"/>
      <c r="C639" s="6"/>
      <c r="D639" s="8"/>
      <c r="E639" s="9"/>
      <c r="F639" s="9"/>
      <c r="G639" s="7"/>
      <c r="H639" s="36"/>
      <c r="I639" s="37"/>
      <c r="J639" s="6"/>
      <c r="K639" s="6"/>
      <c r="L639" s="6"/>
    </row>
    <row r="640" spans="2:12" ht="12.75">
      <c r="B640" s="6"/>
      <c r="C640" s="6"/>
      <c r="D640" s="8"/>
      <c r="E640" s="9"/>
      <c r="F640" s="9"/>
      <c r="G640" s="7"/>
      <c r="H640" s="36"/>
      <c r="I640" s="37"/>
      <c r="J640" s="6"/>
      <c r="K640" s="6"/>
      <c r="L640" s="6"/>
    </row>
    <row r="641" spans="2:12" ht="12.75">
      <c r="B641" s="6"/>
      <c r="C641" s="6"/>
      <c r="D641" s="8"/>
      <c r="E641" s="9"/>
      <c r="F641" s="9"/>
      <c r="G641" s="7"/>
      <c r="H641" s="36"/>
      <c r="I641" s="37"/>
      <c r="J641" s="6"/>
      <c r="K641" s="6"/>
      <c r="L641" s="6"/>
    </row>
    <row r="642" spans="2:12" ht="12.75">
      <c r="B642" s="6"/>
      <c r="C642" s="6"/>
      <c r="D642" s="8"/>
      <c r="E642" s="9"/>
      <c r="F642" s="9"/>
      <c r="G642" s="7"/>
      <c r="H642" s="36"/>
      <c r="I642" s="37"/>
      <c r="J642" s="6"/>
      <c r="K642" s="6"/>
      <c r="L642" s="6"/>
    </row>
    <row r="643" spans="2:12" ht="12.75">
      <c r="B643" s="6"/>
      <c r="C643" s="6"/>
      <c r="D643" s="8"/>
      <c r="E643" s="9"/>
      <c r="F643" s="9"/>
      <c r="G643" s="7"/>
      <c r="H643" s="36"/>
      <c r="I643" s="37"/>
      <c r="J643" s="6"/>
      <c r="K643" s="6"/>
      <c r="L643" s="6"/>
    </row>
    <row r="644" spans="2:12" ht="12.75">
      <c r="B644" s="6"/>
      <c r="C644" s="6"/>
      <c r="D644" s="8"/>
      <c r="E644" s="9"/>
      <c r="F644" s="9"/>
      <c r="G644" s="7"/>
      <c r="H644" s="36"/>
      <c r="I644" s="37"/>
      <c r="J644" s="6"/>
      <c r="K644" s="6"/>
      <c r="L644" s="6"/>
    </row>
    <row r="645" spans="2:12" ht="12.75">
      <c r="B645" s="6"/>
      <c r="C645" s="6"/>
      <c r="D645" s="8"/>
      <c r="E645" s="9"/>
      <c r="F645" s="9"/>
      <c r="G645" s="7"/>
      <c r="H645" s="36"/>
      <c r="I645" s="37"/>
      <c r="J645" s="6"/>
      <c r="K645" s="6"/>
      <c r="L645" s="6"/>
    </row>
    <row r="646" spans="2:12" ht="12.75">
      <c r="B646" s="6"/>
      <c r="C646" s="6"/>
      <c r="D646" s="8"/>
      <c r="E646" s="9"/>
      <c r="F646" s="9"/>
      <c r="G646" s="7"/>
      <c r="H646" s="36"/>
      <c r="I646" s="37"/>
      <c r="J646" s="6"/>
      <c r="K646" s="6"/>
      <c r="L646" s="6"/>
    </row>
    <row r="647" spans="2:12" ht="12.75">
      <c r="B647" s="6"/>
      <c r="C647" s="6"/>
      <c r="D647" s="8"/>
      <c r="E647" s="9"/>
      <c r="F647" s="9"/>
      <c r="G647" s="7"/>
      <c r="H647" s="36"/>
      <c r="I647" s="37"/>
      <c r="J647" s="6"/>
      <c r="K647" s="6"/>
      <c r="L647" s="6"/>
    </row>
    <row r="648" spans="2:12" ht="12.75">
      <c r="B648" s="6"/>
      <c r="C648" s="6"/>
      <c r="D648" s="8"/>
      <c r="E648" s="9"/>
      <c r="F648" s="9"/>
      <c r="G648" s="7"/>
      <c r="H648" s="36"/>
      <c r="I648" s="37"/>
      <c r="J648" s="6"/>
      <c r="K648" s="6"/>
      <c r="L648" s="6"/>
    </row>
    <row r="649" spans="2:12" ht="12.75">
      <c r="B649" s="6"/>
      <c r="C649" s="6"/>
      <c r="D649" s="8"/>
      <c r="E649" s="9"/>
      <c r="F649" s="9"/>
      <c r="G649" s="7"/>
      <c r="H649" s="36"/>
      <c r="I649" s="37"/>
      <c r="J649" s="6"/>
      <c r="K649" s="6"/>
      <c r="L649" s="6"/>
    </row>
    <row r="650" spans="2:12" ht="12.75">
      <c r="B650" s="6"/>
      <c r="C650" s="6"/>
      <c r="D650" s="8"/>
      <c r="E650" s="9"/>
      <c r="F650" s="9"/>
      <c r="G650" s="7"/>
      <c r="H650" s="36"/>
      <c r="I650" s="37"/>
      <c r="J650" s="6"/>
      <c r="K650" s="6"/>
      <c r="L650" s="6"/>
    </row>
    <row r="651" spans="2:12" ht="12.75">
      <c r="B651" s="6"/>
      <c r="C651" s="6"/>
      <c r="D651" s="8"/>
      <c r="E651" s="9"/>
      <c r="F651" s="9"/>
      <c r="G651" s="7"/>
      <c r="H651" s="36"/>
      <c r="I651" s="37"/>
      <c r="J651" s="6"/>
      <c r="K651" s="6"/>
      <c r="L651" s="6"/>
    </row>
    <row r="652" spans="2:12" ht="12.75">
      <c r="B652" s="6"/>
      <c r="C652" s="6"/>
      <c r="D652" s="8"/>
      <c r="E652" s="9"/>
      <c r="F652" s="9"/>
      <c r="G652" s="7"/>
      <c r="H652" s="36"/>
      <c r="I652" s="37"/>
      <c r="J652" s="6"/>
      <c r="K652" s="6"/>
      <c r="L652" s="6"/>
    </row>
    <row r="653" spans="2:12" ht="12.75">
      <c r="B653" s="6"/>
      <c r="C653" s="6"/>
      <c r="D653" s="8"/>
      <c r="E653" s="9"/>
      <c r="F653" s="9"/>
      <c r="G653" s="7"/>
      <c r="H653" s="36"/>
      <c r="I653" s="37"/>
      <c r="J653" s="6"/>
      <c r="K653" s="6"/>
      <c r="L653" s="6"/>
    </row>
    <row r="654" spans="2:12" ht="12.75">
      <c r="B654" s="6"/>
      <c r="C654" s="6"/>
      <c r="D654" s="8"/>
      <c r="E654" s="9"/>
      <c r="F654" s="9"/>
      <c r="G654" s="7"/>
      <c r="H654" s="36"/>
      <c r="I654" s="37"/>
      <c r="J654" s="6"/>
      <c r="K654" s="6"/>
      <c r="L654" s="6"/>
    </row>
    <row r="655" spans="2:12" ht="12.75">
      <c r="B655" s="6"/>
      <c r="C655" s="6"/>
      <c r="D655" s="8"/>
      <c r="E655" s="9"/>
      <c r="F655" s="9"/>
      <c r="G655" s="7"/>
      <c r="H655" s="36"/>
      <c r="I655" s="37"/>
      <c r="J655" s="6"/>
      <c r="K655" s="6"/>
      <c r="L655" s="6"/>
    </row>
    <row r="656" spans="2:12" ht="12.75">
      <c r="B656" s="6"/>
      <c r="C656" s="6"/>
      <c r="D656" s="8"/>
      <c r="E656" s="9"/>
      <c r="F656" s="9"/>
      <c r="G656" s="7"/>
      <c r="H656" s="36"/>
      <c r="I656" s="37"/>
      <c r="J656" s="6"/>
      <c r="K656" s="6"/>
      <c r="L656" s="6"/>
    </row>
    <row r="657" spans="2:12" ht="12.75">
      <c r="B657" s="6"/>
      <c r="C657" s="6"/>
      <c r="D657" s="8"/>
      <c r="E657" s="9"/>
      <c r="F657" s="9"/>
      <c r="G657" s="7"/>
      <c r="H657" s="36"/>
      <c r="I657" s="37"/>
      <c r="J657" s="6"/>
      <c r="K657" s="6"/>
      <c r="L657" s="6"/>
    </row>
    <row r="658" spans="2:12" ht="12.75">
      <c r="B658" s="6"/>
      <c r="C658" s="6"/>
      <c r="D658" s="8"/>
      <c r="E658" s="9"/>
      <c r="F658" s="9"/>
      <c r="G658" s="7"/>
      <c r="H658" s="36"/>
      <c r="I658" s="37"/>
      <c r="J658" s="6"/>
      <c r="K658" s="6"/>
      <c r="L658" s="6"/>
    </row>
    <row r="659" spans="2:12" ht="12.75">
      <c r="B659" s="6"/>
      <c r="C659" s="6"/>
      <c r="D659" s="8"/>
      <c r="E659" s="9"/>
      <c r="F659" s="9"/>
      <c r="G659" s="7"/>
      <c r="H659" s="36"/>
      <c r="I659" s="37"/>
      <c r="J659" s="6"/>
      <c r="K659" s="6"/>
      <c r="L659" s="6"/>
    </row>
    <row r="660" spans="2:12" ht="12.75">
      <c r="B660" s="6"/>
      <c r="C660" s="6"/>
      <c r="D660" s="8"/>
      <c r="E660" s="9"/>
      <c r="F660" s="9"/>
      <c r="G660" s="7"/>
      <c r="H660" s="36"/>
      <c r="I660" s="37"/>
      <c r="J660" s="6"/>
      <c r="K660" s="6"/>
      <c r="L660" s="6"/>
    </row>
    <row r="661" spans="2:12" ht="12.75">
      <c r="B661" s="6"/>
      <c r="C661" s="6"/>
      <c r="D661" s="8"/>
      <c r="E661" s="9"/>
      <c r="F661" s="9"/>
      <c r="G661" s="7"/>
      <c r="H661" s="36"/>
      <c r="I661" s="37"/>
      <c r="J661" s="6"/>
      <c r="K661" s="6"/>
      <c r="L661" s="6"/>
    </row>
    <row r="662" spans="2:12" ht="12.75">
      <c r="B662" s="6"/>
      <c r="C662" s="6"/>
      <c r="D662" s="8"/>
      <c r="E662" s="9"/>
      <c r="F662" s="9"/>
      <c r="G662" s="7"/>
      <c r="H662" s="36"/>
      <c r="I662" s="37"/>
      <c r="J662" s="6"/>
      <c r="K662" s="6"/>
      <c r="L662" s="6"/>
    </row>
    <row r="663" spans="2:12" ht="12.75">
      <c r="B663" s="6"/>
      <c r="C663" s="6"/>
      <c r="D663" s="8"/>
      <c r="E663" s="9"/>
      <c r="F663" s="9"/>
      <c r="G663" s="7"/>
      <c r="H663" s="36"/>
      <c r="I663" s="37"/>
      <c r="J663" s="6"/>
      <c r="K663" s="6"/>
      <c r="L663" s="6"/>
    </row>
    <row r="664" spans="2:12" ht="12.75">
      <c r="B664" s="6"/>
      <c r="C664" s="6"/>
      <c r="D664" s="8"/>
      <c r="E664" s="9"/>
      <c r="F664" s="9"/>
      <c r="G664" s="7"/>
      <c r="H664" s="36"/>
      <c r="I664" s="37"/>
      <c r="J664" s="6"/>
      <c r="K664" s="6"/>
      <c r="L664" s="6"/>
    </row>
    <row r="665" spans="2:12" ht="12.75">
      <c r="B665" s="6"/>
      <c r="C665" s="6"/>
      <c r="D665" s="8"/>
      <c r="E665" s="9"/>
      <c r="F665" s="9"/>
      <c r="G665" s="7"/>
      <c r="H665" s="36"/>
      <c r="I665" s="37"/>
      <c r="J665" s="6"/>
      <c r="K665" s="6"/>
      <c r="L665" s="6"/>
    </row>
    <row r="666" spans="2:12" ht="12.75">
      <c r="B666" s="6"/>
      <c r="C666" s="6"/>
      <c r="D666" s="8"/>
      <c r="E666" s="9"/>
      <c r="F666" s="9"/>
      <c r="G666" s="7"/>
      <c r="H666" s="36"/>
      <c r="I666" s="37"/>
      <c r="J666" s="6"/>
      <c r="K666" s="6"/>
      <c r="L666" s="6"/>
    </row>
    <row r="667" spans="2:12" ht="12.75">
      <c r="B667" s="6"/>
      <c r="C667" s="6"/>
      <c r="D667" s="8"/>
      <c r="E667" s="9"/>
      <c r="F667" s="9"/>
      <c r="G667" s="7"/>
      <c r="H667" s="36"/>
      <c r="I667" s="37"/>
      <c r="J667" s="6"/>
      <c r="K667" s="6"/>
      <c r="L667" s="6"/>
    </row>
    <row r="668" spans="2:12" ht="12.75">
      <c r="B668" s="6"/>
      <c r="C668" s="6"/>
      <c r="D668" s="8"/>
      <c r="E668" s="9"/>
      <c r="F668" s="9"/>
      <c r="G668" s="7"/>
      <c r="H668" s="36"/>
      <c r="I668" s="37"/>
      <c r="J668" s="6"/>
      <c r="K668" s="6"/>
      <c r="L668" s="6"/>
    </row>
    <row r="669" spans="2:12" ht="12.75">
      <c r="B669" s="6"/>
      <c r="C669" s="6"/>
      <c r="D669" s="8"/>
      <c r="E669" s="9"/>
      <c r="F669" s="9"/>
      <c r="G669" s="7"/>
      <c r="H669" s="36"/>
      <c r="I669" s="37"/>
      <c r="J669" s="6"/>
      <c r="K669" s="6"/>
      <c r="L669" s="6"/>
    </row>
    <row r="670" spans="2:12" ht="12.75">
      <c r="B670" s="6"/>
      <c r="C670" s="6"/>
      <c r="D670" s="8"/>
      <c r="E670" s="9"/>
      <c r="F670" s="9"/>
      <c r="G670" s="7"/>
      <c r="H670" s="36"/>
      <c r="I670" s="37"/>
      <c r="J670" s="6"/>
      <c r="K670" s="6"/>
      <c r="L670" s="6"/>
    </row>
    <row r="671" spans="2:12" ht="12.75">
      <c r="B671" s="6"/>
      <c r="C671" s="6"/>
      <c r="D671" s="8"/>
      <c r="E671" s="9"/>
      <c r="F671" s="9"/>
      <c r="G671" s="7"/>
      <c r="H671" s="36"/>
      <c r="I671" s="37"/>
      <c r="J671" s="6"/>
      <c r="K671" s="6"/>
      <c r="L671" s="6"/>
    </row>
    <row r="672" spans="2:12" ht="12.75">
      <c r="B672" s="6"/>
      <c r="C672" s="6"/>
      <c r="D672" s="8"/>
      <c r="E672" s="9"/>
      <c r="F672" s="9"/>
      <c r="G672" s="7"/>
      <c r="H672" s="36"/>
      <c r="I672" s="37"/>
      <c r="J672" s="6"/>
      <c r="K672" s="6"/>
      <c r="L672" s="6"/>
    </row>
    <row r="673" spans="2:12" ht="12.75">
      <c r="B673" s="6"/>
      <c r="C673" s="6"/>
      <c r="D673" s="8"/>
      <c r="E673" s="9"/>
      <c r="F673" s="9"/>
      <c r="G673" s="7"/>
      <c r="H673" s="36"/>
      <c r="I673" s="37"/>
      <c r="J673" s="6"/>
      <c r="K673" s="6"/>
      <c r="L673" s="6"/>
    </row>
    <row r="674" spans="2:12" ht="12.75">
      <c r="B674" s="6"/>
      <c r="C674" s="6"/>
      <c r="D674" s="8"/>
      <c r="E674" s="9"/>
      <c r="F674" s="9"/>
      <c r="G674" s="7"/>
      <c r="H674" s="36"/>
      <c r="I674" s="37"/>
      <c r="J674" s="6"/>
      <c r="K674" s="6"/>
      <c r="L674" s="6"/>
    </row>
    <row r="675" spans="2:12" ht="12.75">
      <c r="B675" s="6"/>
      <c r="C675" s="6"/>
      <c r="D675" s="8"/>
      <c r="E675" s="9"/>
      <c r="F675" s="9"/>
      <c r="G675" s="7"/>
      <c r="H675" s="36"/>
      <c r="I675" s="37"/>
      <c r="J675" s="6"/>
      <c r="K675" s="6"/>
      <c r="L675" s="6"/>
    </row>
    <row r="676" spans="2:12" ht="12.75">
      <c r="B676" s="6"/>
      <c r="C676" s="6"/>
      <c r="D676" s="8"/>
      <c r="E676" s="9"/>
      <c r="F676" s="9"/>
      <c r="G676" s="7"/>
      <c r="H676" s="36"/>
      <c r="I676" s="37"/>
      <c r="J676" s="6"/>
      <c r="K676" s="6"/>
      <c r="L676" s="6"/>
    </row>
    <row r="677" spans="2:12" ht="12.75">
      <c r="B677" s="6"/>
      <c r="C677" s="6"/>
      <c r="D677" s="8"/>
      <c r="E677" s="9"/>
      <c r="F677" s="9"/>
      <c r="G677" s="7"/>
      <c r="H677" s="36"/>
      <c r="I677" s="37"/>
      <c r="J677" s="6"/>
      <c r="K677" s="6"/>
      <c r="L677" s="6"/>
    </row>
    <row r="678" spans="2:12" ht="12.75">
      <c r="B678" s="6"/>
      <c r="C678" s="6"/>
      <c r="D678" s="8"/>
      <c r="E678" s="9"/>
      <c r="F678" s="9"/>
      <c r="G678" s="7"/>
      <c r="H678" s="36"/>
      <c r="I678" s="37"/>
      <c r="J678" s="6"/>
      <c r="K678" s="6"/>
      <c r="L678" s="6"/>
    </row>
    <row r="679" spans="2:12" ht="12.75">
      <c r="B679" s="6"/>
      <c r="C679" s="6"/>
      <c r="D679" s="8"/>
      <c r="E679" s="9"/>
      <c r="F679" s="9"/>
      <c r="G679" s="7"/>
      <c r="H679" s="36"/>
      <c r="I679" s="37"/>
      <c r="J679" s="6"/>
      <c r="K679" s="6"/>
      <c r="L679" s="6"/>
    </row>
    <row r="680" spans="2:12" ht="12.75">
      <c r="B680" s="6"/>
      <c r="C680" s="6"/>
      <c r="D680" s="8"/>
      <c r="E680" s="9"/>
      <c r="F680" s="9"/>
      <c r="G680" s="7"/>
      <c r="H680" s="36"/>
      <c r="I680" s="37"/>
      <c r="J680" s="6"/>
      <c r="K680" s="6"/>
      <c r="L680" s="6"/>
    </row>
    <row r="681" spans="2:12" ht="12.75">
      <c r="B681" s="6"/>
      <c r="C681" s="6"/>
      <c r="D681" s="8"/>
      <c r="E681" s="9"/>
      <c r="F681" s="9"/>
      <c r="G681" s="7"/>
      <c r="H681" s="36"/>
      <c r="I681" s="37"/>
      <c r="J681" s="6"/>
      <c r="K681" s="6"/>
      <c r="L681" s="6"/>
    </row>
    <row r="682" spans="2:12" ht="12.75">
      <c r="B682" s="6"/>
      <c r="C682" s="6"/>
      <c r="D682" s="8"/>
      <c r="E682" s="9"/>
      <c r="F682" s="9"/>
      <c r="G682" s="7"/>
      <c r="H682" s="36"/>
      <c r="I682" s="37"/>
      <c r="J682" s="6"/>
      <c r="K682" s="6"/>
      <c r="L682" s="6"/>
    </row>
    <row r="683" spans="2:12" ht="12.75">
      <c r="B683" s="6"/>
      <c r="C683" s="6"/>
      <c r="D683" s="8"/>
      <c r="E683" s="9"/>
      <c r="F683" s="9"/>
      <c r="G683" s="7"/>
      <c r="H683" s="36"/>
      <c r="I683" s="37"/>
      <c r="J683" s="6"/>
      <c r="K683" s="6"/>
      <c r="L683" s="6"/>
    </row>
    <row r="684" spans="2:12" ht="12.75">
      <c r="B684" s="6"/>
      <c r="C684" s="6"/>
      <c r="D684" s="8"/>
      <c r="E684" s="9"/>
      <c r="F684" s="9"/>
      <c r="G684" s="7"/>
      <c r="H684" s="36"/>
      <c r="I684" s="37"/>
      <c r="J684" s="6"/>
      <c r="K684" s="6"/>
      <c r="L684" s="6"/>
    </row>
    <row r="685" spans="2:12" ht="12.75">
      <c r="B685" s="6"/>
      <c r="C685" s="6"/>
      <c r="D685" s="8"/>
      <c r="E685" s="9"/>
      <c r="F685" s="9"/>
      <c r="G685" s="7"/>
      <c r="H685" s="36"/>
      <c r="I685" s="37"/>
      <c r="J685" s="6"/>
      <c r="K685" s="6"/>
      <c r="L685" s="6"/>
    </row>
    <row r="686" spans="2:12" ht="12.75">
      <c r="B686" s="6"/>
      <c r="C686" s="6"/>
      <c r="D686" s="8"/>
      <c r="E686" s="9"/>
      <c r="F686" s="9"/>
      <c r="G686" s="7"/>
      <c r="H686" s="36"/>
      <c r="I686" s="37"/>
      <c r="J686" s="6"/>
      <c r="K686" s="6"/>
      <c r="L686" s="6"/>
    </row>
    <row r="687" spans="2:12" ht="12.75">
      <c r="B687" s="6"/>
      <c r="C687" s="6"/>
      <c r="D687" s="8"/>
      <c r="E687" s="9"/>
      <c r="F687" s="9"/>
      <c r="G687" s="7"/>
      <c r="H687" s="36"/>
      <c r="I687" s="37"/>
      <c r="J687" s="6"/>
      <c r="K687" s="6"/>
      <c r="L687" s="6"/>
    </row>
    <row r="688" spans="2:12" ht="12.75">
      <c r="B688" s="6"/>
      <c r="C688" s="6"/>
      <c r="D688" s="8"/>
      <c r="E688" s="9"/>
      <c r="F688" s="9"/>
      <c r="G688" s="7"/>
      <c r="H688" s="36"/>
      <c r="I688" s="37"/>
      <c r="J688" s="6"/>
      <c r="K688" s="6"/>
      <c r="L688" s="6"/>
    </row>
    <row r="689" spans="2:12" ht="12.75">
      <c r="B689" s="6"/>
      <c r="C689" s="6"/>
      <c r="D689" s="8"/>
      <c r="E689" s="9"/>
      <c r="F689" s="9"/>
      <c r="G689" s="7"/>
      <c r="H689" s="36"/>
      <c r="I689" s="37"/>
      <c r="J689" s="6"/>
      <c r="K689" s="6"/>
      <c r="L689" s="6"/>
    </row>
    <row r="690" spans="2:12" ht="12.75">
      <c r="B690" s="6"/>
      <c r="C690" s="6"/>
      <c r="D690" s="8"/>
      <c r="E690" s="9"/>
      <c r="F690" s="9"/>
      <c r="G690" s="7"/>
      <c r="H690" s="36"/>
      <c r="I690" s="37"/>
      <c r="J690" s="6"/>
      <c r="K690" s="6"/>
      <c r="L690" s="6"/>
    </row>
    <row r="691" spans="2:12" ht="12.75">
      <c r="B691" s="6"/>
      <c r="C691" s="6"/>
      <c r="D691" s="8"/>
      <c r="E691" s="9"/>
      <c r="F691" s="9"/>
      <c r="G691" s="7"/>
      <c r="H691" s="36"/>
      <c r="I691" s="37"/>
      <c r="J691" s="6"/>
      <c r="K691" s="6"/>
      <c r="L691" s="6"/>
    </row>
    <row r="692" spans="2:12" ht="12.75">
      <c r="B692" s="6"/>
      <c r="C692" s="6"/>
      <c r="D692" s="8"/>
      <c r="E692" s="9"/>
      <c r="F692" s="9"/>
      <c r="G692" s="7"/>
      <c r="H692" s="36"/>
      <c r="I692" s="37"/>
      <c r="J692" s="6"/>
      <c r="K692" s="6"/>
      <c r="L692" s="6"/>
    </row>
    <row r="693" spans="2:12" ht="12.75">
      <c r="B693" s="6"/>
      <c r="C693" s="6"/>
      <c r="D693" s="8"/>
      <c r="E693" s="9"/>
      <c r="F693" s="9"/>
      <c r="G693" s="7"/>
      <c r="H693" s="36"/>
      <c r="I693" s="37"/>
      <c r="J693" s="6"/>
      <c r="K693" s="6"/>
      <c r="L693" s="6"/>
    </row>
    <row r="694" spans="2:12" ht="12.75">
      <c r="B694" s="6"/>
      <c r="C694" s="6"/>
      <c r="D694" s="8"/>
      <c r="E694" s="9"/>
      <c r="F694" s="9"/>
      <c r="G694" s="7"/>
      <c r="H694" s="36"/>
      <c r="I694" s="37"/>
      <c r="J694" s="6"/>
      <c r="K694" s="6"/>
      <c r="L694" s="6"/>
    </row>
    <row r="695" spans="2:12" ht="12.75">
      <c r="B695" s="6"/>
      <c r="C695" s="6"/>
      <c r="D695" s="8"/>
      <c r="E695" s="9"/>
      <c r="F695" s="9"/>
      <c r="G695" s="7"/>
      <c r="H695" s="36"/>
      <c r="I695" s="37"/>
      <c r="J695" s="6"/>
      <c r="K695" s="6"/>
      <c r="L695" s="6"/>
    </row>
    <row r="696" spans="2:12" ht="12.75">
      <c r="B696" s="6"/>
      <c r="C696" s="6"/>
      <c r="D696" s="8"/>
      <c r="E696" s="9"/>
      <c r="F696" s="9"/>
      <c r="G696" s="7"/>
      <c r="H696" s="36"/>
      <c r="I696" s="37"/>
      <c r="J696" s="6"/>
      <c r="K696" s="6"/>
      <c r="L696" s="6"/>
    </row>
    <row r="697" spans="2:12" ht="12.75">
      <c r="B697" s="6"/>
      <c r="C697" s="6"/>
      <c r="D697" s="8"/>
      <c r="E697" s="9"/>
      <c r="F697" s="9"/>
      <c r="G697" s="7"/>
      <c r="H697" s="36"/>
      <c r="I697" s="37"/>
      <c r="J697" s="6"/>
      <c r="K697" s="6"/>
      <c r="L697" s="6"/>
    </row>
    <row r="698" spans="2:12" ht="12.75">
      <c r="B698" s="6"/>
      <c r="C698" s="6"/>
      <c r="D698" s="8"/>
      <c r="E698" s="9"/>
      <c r="F698" s="9"/>
      <c r="G698" s="7"/>
      <c r="H698" s="36"/>
      <c r="I698" s="37"/>
      <c r="J698" s="6"/>
      <c r="K698" s="6"/>
      <c r="L698" s="6"/>
    </row>
    <row r="699" spans="2:12" ht="12.75">
      <c r="B699" s="6"/>
      <c r="C699" s="6"/>
      <c r="D699" s="8"/>
      <c r="E699" s="9"/>
      <c r="F699" s="9"/>
      <c r="G699" s="7"/>
      <c r="H699" s="36"/>
      <c r="I699" s="37"/>
      <c r="J699" s="6"/>
      <c r="K699" s="6"/>
      <c r="L699" s="6"/>
    </row>
    <row r="700" spans="2:12" ht="12.75">
      <c r="B700" s="6"/>
      <c r="C700" s="6"/>
      <c r="D700" s="8"/>
      <c r="E700" s="9"/>
      <c r="F700" s="9"/>
      <c r="G700" s="7"/>
      <c r="H700" s="36"/>
      <c r="I700" s="37"/>
      <c r="J700" s="6"/>
      <c r="K700" s="6"/>
      <c r="L700" s="6"/>
    </row>
    <row r="701" spans="2:12" ht="12.75">
      <c r="B701" s="6"/>
      <c r="C701" s="6"/>
      <c r="D701" s="8"/>
      <c r="E701" s="9"/>
      <c r="F701" s="9"/>
      <c r="G701" s="7"/>
      <c r="H701" s="36"/>
      <c r="I701" s="37"/>
      <c r="J701" s="6"/>
      <c r="K701" s="6"/>
      <c r="L701" s="6"/>
    </row>
    <row r="702" spans="2:12" ht="12.75">
      <c r="B702" s="6"/>
      <c r="C702" s="6"/>
      <c r="D702" s="8"/>
      <c r="E702" s="9"/>
      <c r="F702" s="9"/>
      <c r="G702" s="7"/>
      <c r="H702" s="36"/>
      <c r="I702" s="37"/>
      <c r="J702" s="6"/>
      <c r="K702" s="6"/>
      <c r="L702" s="6"/>
    </row>
    <row r="703" spans="2:12" ht="12.75">
      <c r="B703" s="6"/>
      <c r="C703" s="6"/>
      <c r="D703" s="8"/>
      <c r="E703" s="9"/>
      <c r="F703" s="9"/>
      <c r="G703" s="7"/>
      <c r="H703" s="36"/>
      <c r="I703" s="37"/>
      <c r="J703" s="6"/>
      <c r="K703" s="6"/>
      <c r="L703" s="6"/>
    </row>
    <row r="704" spans="2:12" ht="12.75">
      <c r="B704" s="6"/>
      <c r="C704" s="6"/>
      <c r="D704" s="8"/>
      <c r="E704" s="9"/>
      <c r="F704" s="9"/>
      <c r="G704" s="7"/>
      <c r="H704" s="36"/>
      <c r="I704" s="37"/>
      <c r="J704" s="6"/>
      <c r="K704" s="6"/>
      <c r="L704" s="6"/>
    </row>
    <row r="705" spans="2:12" ht="12.75">
      <c r="B705" s="6"/>
      <c r="C705" s="6"/>
      <c r="D705" s="8"/>
      <c r="E705" s="9"/>
      <c r="F705" s="9"/>
      <c r="G705" s="7"/>
      <c r="H705" s="36"/>
      <c r="I705" s="37"/>
      <c r="J705" s="6"/>
      <c r="K705" s="6"/>
      <c r="L705" s="6"/>
    </row>
    <row r="706" spans="2:12" ht="12.75">
      <c r="B706" s="6"/>
      <c r="C706" s="6"/>
      <c r="D706" s="8"/>
      <c r="E706" s="9"/>
      <c r="F706" s="9"/>
      <c r="G706" s="7"/>
      <c r="H706" s="36"/>
      <c r="I706" s="37"/>
      <c r="J706" s="6"/>
      <c r="K706" s="6"/>
      <c r="L706" s="6"/>
    </row>
    <row r="707" spans="2:12" ht="12.75">
      <c r="B707" s="6"/>
      <c r="C707" s="6"/>
      <c r="D707" s="8"/>
      <c r="E707" s="9"/>
      <c r="F707" s="9"/>
      <c r="G707" s="7"/>
      <c r="H707" s="36"/>
      <c r="I707" s="37"/>
      <c r="J707" s="6"/>
      <c r="K707" s="6"/>
      <c r="L707" s="6"/>
    </row>
    <row r="708" spans="2:12" ht="12.75">
      <c r="B708" s="6"/>
      <c r="C708" s="6"/>
      <c r="D708" s="8"/>
      <c r="E708" s="9"/>
      <c r="F708" s="9"/>
      <c r="G708" s="7"/>
      <c r="H708" s="36"/>
      <c r="I708" s="37"/>
      <c r="J708" s="6"/>
      <c r="K708" s="6"/>
      <c r="L708" s="6"/>
    </row>
    <row r="709" spans="2:12" ht="12.75">
      <c r="B709" s="6"/>
      <c r="C709" s="6"/>
      <c r="D709" s="8"/>
      <c r="E709" s="9"/>
      <c r="F709" s="9"/>
      <c r="G709" s="7"/>
      <c r="H709" s="36"/>
      <c r="I709" s="37"/>
      <c r="J709" s="6"/>
      <c r="K709" s="6"/>
      <c r="L709" s="6"/>
    </row>
    <row r="710" spans="2:12" ht="12.75">
      <c r="B710" s="6"/>
      <c r="C710" s="6"/>
      <c r="D710" s="8"/>
      <c r="E710" s="9"/>
      <c r="F710" s="9"/>
      <c r="G710" s="7"/>
      <c r="H710" s="36"/>
      <c r="I710" s="37"/>
      <c r="J710" s="6"/>
      <c r="K710" s="6"/>
      <c r="L710" s="6"/>
    </row>
    <row r="711" spans="2:12" ht="12.75">
      <c r="B711" s="6"/>
      <c r="C711" s="6"/>
      <c r="D711" s="8"/>
      <c r="E711" s="9"/>
      <c r="F711" s="9"/>
      <c r="G711" s="7"/>
      <c r="H711" s="36"/>
      <c r="I711" s="37"/>
      <c r="J711" s="6"/>
      <c r="K711" s="6"/>
      <c r="L711" s="6"/>
    </row>
    <row r="712" spans="2:12" ht="12.75">
      <c r="B712" s="6"/>
      <c r="C712" s="6"/>
      <c r="D712" s="8"/>
      <c r="E712" s="9"/>
      <c r="F712" s="9"/>
      <c r="G712" s="7"/>
      <c r="H712" s="36"/>
      <c r="I712" s="37"/>
      <c r="J712" s="6"/>
      <c r="K712" s="6"/>
      <c r="L712" s="6"/>
    </row>
    <row r="713" spans="2:12" ht="12.75">
      <c r="B713" s="6"/>
      <c r="C713" s="6"/>
      <c r="D713" s="8"/>
      <c r="E713" s="9"/>
      <c r="F713" s="9"/>
      <c r="G713" s="7"/>
      <c r="H713" s="36"/>
      <c r="I713" s="37"/>
      <c r="J713" s="6"/>
      <c r="K713" s="6"/>
      <c r="L713" s="6"/>
    </row>
    <row r="714" spans="2:12" ht="12.75">
      <c r="B714" s="6"/>
      <c r="C714" s="6"/>
      <c r="D714" s="8"/>
      <c r="E714" s="9"/>
      <c r="F714" s="9"/>
      <c r="G714" s="7"/>
      <c r="H714" s="36"/>
      <c r="I714" s="37"/>
      <c r="J714" s="6"/>
      <c r="K714" s="6"/>
      <c r="L714" s="6"/>
    </row>
    <row r="715" spans="2:12" ht="12.75">
      <c r="B715" s="6"/>
      <c r="C715" s="6"/>
      <c r="D715" s="8"/>
      <c r="E715" s="9"/>
      <c r="F715" s="9"/>
      <c r="G715" s="7"/>
      <c r="H715" s="36"/>
      <c r="I715" s="37"/>
      <c r="J715" s="6"/>
      <c r="K715" s="6"/>
      <c r="L715" s="6"/>
    </row>
    <row r="716" spans="2:12" ht="12.75">
      <c r="B716" s="6"/>
      <c r="C716" s="6"/>
      <c r="D716" s="8"/>
      <c r="E716" s="9"/>
      <c r="F716" s="9"/>
      <c r="G716" s="7"/>
      <c r="H716" s="36"/>
      <c r="I716" s="37"/>
      <c r="J716" s="6"/>
      <c r="K716" s="6"/>
      <c r="L716" s="6"/>
    </row>
    <row r="717" spans="2:12" ht="12.75">
      <c r="B717" s="6"/>
      <c r="C717" s="6"/>
      <c r="D717" s="8"/>
      <c r="E717" s="9"/>
      <c r="F717" s="9"/>
      <c r="G717" s="7"/>
      <c r="H717" s="36"/>
      <c r="I717" s="37"/>
      <c r="J717" s="6"/>
      <c r="K717" s="6"/>
      <c r="L717" s="6"/>
    </row>
    <row r="718" spans="2:12" ht="12.75">
      <c r="B718" s="6"/>
      <c r="C718" s="6"/>
      <c r="D718" s="8"/>
      <c r="E718" s="9"/>
      <c r="F718" s="9"/>
      <c r="G718" s="7"/>
      <c r="H718" s="36"/>
      <c r="I718" s="37"/>
      <c r="J718" s="6"/>
      <c r="K718" s="6"/>
      <c r="L718" s="6"/>
    </row>
    <row r="719" spans="2:12" ht="12.75">
      <c r="B719" s="6"/>
      <c r="C719" s="6"/>
      <c r="D719" s="8"/>
      <c r="E719" s="9"/>
      <c r="F719" s="9"/>
      <c r="G719" s="7"/>
      <c r="H719" s="36"/>
      <c r="I719" s="37"/>
      <c r="J719" s="6"/>
      <c r="K719" s="6"/>
      <c r="L719" s="6"/>
    </row>
    <row r="720" spans="2:12" ht="12.75">
      <c r="B720" s="6"/>
      <c r="C720" s="6"/>
      <c r="D720" s="8"/>
      <c r="E720" s="9"/>
      <c r="F720" s="9"/>
      <c r="G720" s="7"/>
      <c r="H720" s="36"/>
      <c r="I720" s="37"/>
      <c r="J720" s="6"/>
      <c r="K720" s="6"/>
      <c r="L720" s="6"/>
    </row>
    <row r="721" spans="2:12" ht="12.75">
      <c r="B721" s="6"/>
      <c r="C721" s="6"/>
      <c r="D721" s="8"/>
      <c r="E721" s="9"/>
      <c r="F721" s="9"/>
      <c r="G721" s="7"/>
      <c r="H721" s="36"/>
      <c r="I721" s="37"/>
      <c r="J721" s="6"/>
      <c r="K721" s="6"/>
      <c r="L721" s="6"/>
    </row>
    <row r="722" spans="2:12" ht="12.75">
      <c r="B722" s="6"/>
      <c r="C722" s="6"/>
      <c r="D722" s="8"/>
      <c r="E722" s="9"/>
      <c r="F722" s="9"/>
      <c r="G722" s="7"/>
      <c r="H722" s="36"/>
      <c r="I722" s="37"/>
      <c r="J722" s="6"/>
      <c r="K722" s="6"/>
      <c r="L722" s="6"/>
    </row>
    <row r="723" spans="2:12" ht="12.75">
      <c r="B723" s="6"/>
      <c r="C723" s="6"/>
      <c r="D723" s="8"/>
      <c r="E723" s="9"/>
      <c r="F723" s="9"/>
      <c r="G723" s="7"/>
      <c r="H723" s="36"/>
      <c r="I723" s="37"/>
      <c r="J723" s="6"/>
      <c r="K723" s="6"/>
      <c r="L723" s="6"/>
    </row>
    <row r="724" spans="2:12" ht="12.75">
      <c r="B724" s="6"/>
      <c r="C724" s="6"/>
      <c r="D724" s="8"/>
      <c r="E724" s="9"/>
      <c r="F724" s="9"/>
      <c r="G724" s="7"/>
      <c r="H724" s="36"/>
      <c r="I724" s="37"/>
      <c r="J724" s="6"/>
      <c r="K724" s="6"/>
      <c r="L724" s="6"/>
    </row>
    <row r="725" spans="2:12" ht="12.75">
      <c r="B725" s="6"/>
      <c r="C725" s="6"/>
      <c r="D725" s="8"/>
      <c r="E725" s="9"/>
      <c r="F725" s="9"/>
      <c r="G725" s="7"/>
      <c r="H725" s="36"/>
      <c r="I725" s="37"/>
      <c r="J725" s="6"/>
      <c r="K725" s="6"/>
      <c r="L725" s="6"/>
    </row>
    <row r="726" spans="2:12" ht="12.75">
      <c r="B726" s="6"/>
      <c r="C726" s="6"/>
      <c r="D726" s="8"/>
      <c r="E726" s="9"/>
      <c r="F726" s="9"/>
      <c r="G726" s="7"/>
      <c r="H726" s="36"/>
      <c r="I726" s="37"/>
      <c r="J726" s="6"/>
      <c r="K726" s="6"/>
      <c r="L726" s="6"/>
    </row>
    <row r="727" spans="2:12" ht="12.75">
      <c r="B727" s="6"/>
      <c r="C727" s="6"/>
      <c r="D727" s="8"/>
      <c r="E727" s="9"/>
      <c r="F727" s="9"/>
      <c r="G727" s="7"/>
      <c r="H727" s="36"/>
      <c r="I727" s="37"/>
      <c r="J727" s="6"/>
      <c r="K727" s="6"/>
      <c r="L727" s="6"/>
    </row>
    <row r="728" spans="2:12" ht="12.75">
      <c r="B728" s="6"/>
      <c r="C728" s="6"/>
      <c r="D728" s="8"/>
      <c r="E728" s="9"/>
      <c r="F728" s="9"/>
      <c r="G728" s="7"/>
      <c r="H728" s="36"/>
      <c r="I728" s="37"/>
      <c r="J728" s="6"/>
      <c r="K728" s="6"/>
      <c r="L728" s="6"/>
    </row>
    <row r="729" spans="2:12" ht="12.75">
      <c r="B729" s="6"/>
      <c r="C729" s="6"/>
      <c r="D729" s="8"/>
      <c r="E729" s="9"/>
      <c r="F729" s="9"/>
      <c r="G729" s="7"/>
      <c r="H729" s="36"/>
      <c r="I729" s="37"/>
      <c r="J729" s="6"/>
      <c r="K729" s="6"/>
      <c r="L729" s="6"/>
    </row>
    <row r="730" spans="2:12" ht="12.75">
      <c r="B730" s="6"/>
      <c r="C730" s="6"/>
      <c r="D730" s="8"/>
      <c r="E730" s="9"/>
      <c r="F730" s="9"/>
      <c r="G730" s="7"/>
      <c r="H730" s="36"/>
      <c r="I730" s="37"/>
      <c r="J730" s="6"/>
      <c r="K730" s="6"/>
      <c r="L730" s="6"/>
    </row>
    <row r="731" spans="2:12" ht="12.75">
      <c r="B731" s="6"/>
      <c r="C731" s="6"/>
      <c r="D731" s="8"/>
      <c r="E731" s="9"/>
      <c r="F731" s="9"/>
      <c r="G731" s="7"/>
      <c r="H731" s="36"/>
      <c r="I731" s="37"/>
      <c r="J731" s="6"/>
      <c r="K731" s="6"/>
      <c r="L731" s="6"/>
    </row>
    <row r="732" spans="2:12" ht="12.75">
      <c r="B732" s="6"/>
      <c r="C732" s="6"/>
      <c r="D732" s="8"/>
      <c r="E732" s="9"/>
      <c r="F732" s="9"/>
      <c r="G732" s="7"/>
      <c r="H732" s="36"/>
      <c r="I732" s="37"/>
      <c r="J732" s="6"/>
      <c r="K732" s="6"/>
      <c r="L732" s="6"/>
    </row>
    <row r="733" spans="2:12" ht="12.75">
      <c r="B733" s="6"/>
      <c r="C733" s="6"/>
      <c r="D733" s="8"/>
      <c r="E733" s="9"/>
      <c r="F733" s="9"/>
      <c r="G733" s="7"/>
      <c r="H733" s="36"/>
      <c r="I733" s="37"/>
      <c r="J733" s="6"/>
      <c r="K733" s="6"/>
      <c r="L733" s="6"/>
    </row>
    <row r="734" spans="2:12" ht="12.75">
      <c r="B734" s="6"/>
      <c r="C734" s="6"/>
      <c r="D734" s="8"/>
      <c r="E734" s="9"/>
      <c r="F734" s="9"/>
      <c r="G734" s="7"/>
      <c r="H734" s="36"/>
      <c r="I734" s="37"/>
      <c r="J734" s="6"/>
      <c r="K734" s="6"/>
      <c r="L734" s="6"/>
    </row>
    <row r="735" spans="2:12" ht="12.75">
      <c r="B735" s="6"/>
      <c r="C735" s="6"/>
      <c r="D735" s="8"/>
      <c r="E735" s="9"/>
      <c r="F735" s="9"/>
      <c r="G735" s="7"/>
      <c r="H735" s="36"/>
      <c r="I735" s="37"/>
      <c r="J735" s="6"/>
      <c r="K735" s="6"/>
      <c r="L735" s="6"/>
    </row>
    <row r="736" spans="2:12" ht="12.75">
      <c r="B736" s="6"/>
      <c r="C736" s="6"/>
      <c r="D736" s="8"/>
      <c r="E736" s="9"/>
      <c r="F736" s="9"/>
      <c r="G736" s="7"/>
      <c r="H736" s="36"/>
      <c r="I736" s="37"/>
      <c r="J736" s="6"/>
      <c r="K736" s="6"/>
      <c r="L736" s="6"/>
    </row>
    <row r="737" spans="2:12" ht="12.75">
      <c r="B737" s="6"/>
      <c r="C737" s="6"/>
      <c r="D737" s="8"/>
      <c r="E737" s="9"/>
      <c r="F737" s="9"/>
      <c r="G737" s="7"/>
      <c r="H737" s="36"/>
      <c r="I737" s="37"/>
      <c r="J737" s="6"/>
      <c r="K737" s="6"/>
      <c r="L737" s="6"/>
    </row>
    <row r="738" spans="2:12" ht="12.75">
      <c r="B738" s="6"/>
      <c r="C738" s="6"/>
      <c r="D738" s="8"/>
      <c r="E738" s="9"/>
      <c r="F738" s="9"/>
      <c r="G738" s="7"/>
      <c r="H738" s="36"/>
      <c r="I738" s="37"/>
      <c r="J738" s="6"/>
      <c r="K738" s="6"/>
      <c r="L738" s="6"/>
    </row>
    <row r="739" spans="2:12" ht="12.75">
      <c r="B739" s="6"/>
      <c r="C739" s="6"/>
      <c r="D739" s="8"/>
      <c r="E739" s="9"/>
      <c r="F739" s="9"/>
      <c r="G739" s="7"/>
      <c r="H739" s="36"/>
      <c r="I739" s="37"/>
      <c r="J739" s="6"/>
      <c r="K739" s="6"/>
      <c r="L739" s="6"/>
    </row>
    <row r="740" spans="2:12" ht="12.75">
      <c r="B740" s="6"/>
      <c r="C740" s="6"/>
      <c r="D740" s="8"/>
      <c r="E740" s="9"/>
      <c r="F740" s="9"/>
      <c r="G740" s="7"/>
      <c r="H740" s="36"/>
      <c r="I740" s="37"/>
      <c r="J740" s="6"/>
      <c r="K740" s="6"/>
      <c r="L740" s="6"/>
    </row>
    <row r="741" spans="2:12" ht="12.75">
      <c r="B741" s="6"/>
      <c r="C741" s="6"/>
      <c r="D741" s="8"/>
      <c r="E741" s="9"/>
      <c r="F741" s="9"/>
      <c r="G741" s="7"/>
      <c r="H741" s="36"/>
      <c r="I741" s="37"/>
      <c r="J741" s="6"/>
      <c r="K741" s="6"/>
      <c r="L741" s="6"/>
    </row>
    <row r="742" spans="2:12" ht="12.75">
      <c r="B742" s="6"/>
      <c r="C742" s="6"/>
      <c r="D742" s="8"/>
      <c r="E742" s="9"/>
      <c r="F742" s="9"/>
      <c r="G742" s="7"/>
      <c r="H742" s="36"/>
      <c r="I742" s="37"/>
      <c r="J742" s="6"/>
      <c r="K742" s="6"/>
      <c r="L742" s="6"/>
    </row>
    <row r="743" spans="2:12" ht="12.75">
      <c r="B743" s="6"/>
      <c r="C743" s="6"/>
      <c r="D743" s="8"/>
      <c r="E743" s="9"/>
      <c r="F743" s="9"/>
      <c r="G743" s="7"/>
      <c r="H743" s="36"/>
      <c r="I743" s="37"/>
      <c r="J743" s="6"/>
      <c r="K743" s="6"/>
      <c r="L743" s="6"/>
    </row>
    <row r="744" spans="2:12" ht="12.75">
      <c r="B744" s="6"/>
      <c r="C744" s="6"/>
      <c r="D744" s="8"/>
      <c r="E744" s="9"/>
      <c r="F744" s="9"/>
      <c r="G744" s="7"/>
      <c r="H744" s="36"/>
      <c r="I744" s="37"/>
      <c r="J744" s="6"/>
      <c r="K744" s="6"/>
      <c r="L744" s="6"/>
    </row>
    <row r="745" spans="2:12" ht="12.75">
      <c r="B745" s="6"/>
      <c r="C745" s="6"/>
      <c r="D745" s="8"/>
      <c r="E745" s="9"/>
      <c r="F745" s="9"/>
      <c r="G745" s="7"/>
      <c r="H745" s="36"/>
      <c r="I745" s="37"/>
      <c r="J745" s="6"/>
      <c r="K745" s="6"/>
      <c r="L745" s="6"/>
    </row>
    <row r="746" spans="2:12" ht="12.75">
      <c r="B746" s="6"/>
      <c r="C746" s="6"/>
      <c r="D746" s="8"/>
      <c r="E746" s="9"/>
      <c r="F746" s="9"/>
      <c r="G746" s="7"/>
      <c r="H746" s="36"/>
      <c r="I746" s="37"/>
      <c r="J746" s="6"/>
      <c r="K746" s="6"/>
      <c r="L746" s="6"/>
    </row>
    <row r="747" spans="2:12" ht="12.75">
      <c r="B747" s="6"/>
      <c r="C747" s="6"/>
      <c r="D747" s="8"/>
      <c r="E747" s="9"/>
      <c r="F747" s="9"/>
      <c r="G747" s="7"/>
      <c r="H747" s="36"/>
      <c r="I747" s="37"/>
      <c r="J747" s="6"/>
      <c r="K747" s="6"/>
      <c r="L747" s="6"/>
    </row>
    <row r="748" spans="2:12" ht="12.75">
      <c r="B748" s="6"/>
      <c r="C748" s="6"/>
      <c r="D748" s="8"/>
      <c r="E748" s="9"/>
      <c r="F748" s="9"/>
      <c r="G748" s="7"/>
      <c r="H748" s="36"/>
      <c r="I748" s="37"/>
      <c r="J748" s="6"/>
      <c r="K748" s="6"/>
      <c r="L748" s="6"/>
    </row>
    <row r="749" spans="2:12" ht="12.75">
      <c r="B749" s="6"/>
      <c r="C749" s="6"/>
      <c r="D749" s="8"/>
      <c r="E749" s="9"/>
      <c r="F749" s="9"/>
      <c r="G749" s="7"/>
      <c r="H749" s="36"/>
      <c r="I749" s="37"/>
      <c r="J749" s="6"/>
      <c r="K749" s="6"/>
      <c r="L749" s="6"/>
    </row>
    <row r="750" spans="2:12" ht="12.75">
      <c r="B750" s="6"/>
      <c r="C750" s="6"/>
      <c r="D750" s="8"/>
      <c r="E750" s="9"/>
      <c r="F750" s="9"/>
      <c r="G750" s="7"/>
      <c r="H750" s="36"/>
      <c r="I750" s="37"/>
      <c r="J750" s="6"/>
      <c r="K750" s="6"/>
      <c r="L750" s="6"/>
    </row>
    <row r="751" spans="2:12" ht="12.75">
      <c r="B751" s="6"/>
      <c r="C751" s="6"/>
      <c r="D751" s="8"/>
      <c r="E751" s="9"/>
      <c r="F751" s="9"/>
      <c r="G751" s="7"/>
      <c r="H751" s="36"/>
      <c r="I751" s="37"/>
      <c r="J751" s="6"/>
      <c r="K751" s="6"/>
      <c r="L751" s="6"/>
    </row>
    <row r="752" spans="2:12" ht="12.75">
      <c r="B752" s="6"/>
      <c r="C752" s="6"/>
      <c r="D752" s="8"/>
      <c r="E752" s="9"/>
      <c r="F752" s="9"/>
      <c r="G752" s="7"/>
      <c r="H752" s="36"/>
      <c r="I752" s="37"/>
      <c r="J752" s="6"/>
      <c r="K752" s="6"/>
      <c r="L752" s="6"/>
    </row>
    <row r="753" spans="2:12" ht="12.75">
      <c r="B753" s="6"/>
      <c r="C753" s="6"/>
      <c r="D753" s="8"/>
      <c r="E753" s="9"/>
      <c r="F753" s="9"/>
      <c r="G753" s="7"/>
      <c r="H753" s="36"/>
      <c r="I753" s="37"/>
      <c r="J753" s="6"/>
      <c r="K753" s="6"/>
      <c r="L753" s="6"/>
    </row>
    <row r="754" spans="2:12" ht="12.75">
      <c r="B754" s="6"/>
      <c r="C754" s="6"/>
      <c r="D754" s="8"/>
      <c r="E754" s="9"/>
      <c r="F754" s="9"/>
      <c r="G754" s="7"/>
      <c r="H754" s="36"/>
      <c r="I754" s="37"/>
      <c r="J754" s="6"/>
      <c r="K754" s="6"/>
      <c r="L754" s="6"/>
    </row>
    <row r="755" spans="2:12" ht="12.75">
      <c r="B755" s="6"/>
      <c r="C755" s="6"/>
      <c r="D755" s="8"/>
      <c r="E755" s="9"/>
      <c r="F755" s="9"/>
      <c r="G755" s="7"/>
      <c r="H755" s="36"/>
      <c r="I755" s="37"/>
      <c r="J755" s="6"/>
      <c r="K755" s="6"/>
      <c r="L755" s="6"/>
    </row>
    <row r="756" spans="2:12" ht="12.75">
      <c r="B756" s="6"/>
      <c r="C756" s="6"/>
      <c r="D756" s="8"/>
      <c r="E756" s="9"/>
      <c r="F756" s="9"/>
      <c r="G756" s="7"/>
      <c r="H756" s="36"/>
      <c r="I756" s="37"/>
      <c r="J756" s="6"/>
      <c r="K756" s="6"/>
      <c r="L756" s="6"/>
    </row>
    <row r="757" spans="2:12" ht="12.75">
      <c r="B757" s="6"/>
      <c r="C757" s="6"/>
      <c r="D757" s="8"/>
      <c r="E757" s="9"/>
      <c r="F757" s="9"/>
      <c r="G757" s="7"/>
      <c r="H757" s="36"/>
      <c r="I757" s="37"/>
      <c r="J757" s="6"/>
      <c r="K757" s="6"/>
      <c r="L757" s="6"/>
    </row>
    <row r="758" spans="2:12" ht="12.75">
      <c r="B758" s="6"/>
      <c r="C758" s="6"/>
      <c r="D758" s="8"/>
      <c r="E758" s="9"/>
      <c r="F758" s="9"/>
      <c r="G758" s="7"/>
      <c r="H758" s="36"/>
      <c r="I758" s="37"/>
      <c r="J758" s="6"/>
      <c r="K758" s="6"/>
      <c r="L758" s="6"/>
    </row>
    <row r="759" spans="2:12" ht="12.75">
      <c r="B759" s="6"/>
      <c r="C759" s="6"/>
      <c r="D759" s="8"/>
      <c r="E759" s="9"/>
      <c r="F759" s="9"/>
      <c r="G759" s="7"/>
      <c r="H759" s="36"/>
      <c r="I759" s="37"/>
      <c r="J759" s="6"/>
      <c r="K759" s="6"/>
      <c r="L759" s="6"/>
    </row>
    <row r="760" spans="2:12" ht="12.75">
      <c r="B760" s="6"/>
      <c r="C760" s="6"/>
      <c r="D760" s="8"/>
      <c r="E760" s="9"/>
      <c r="F760" s="9"/>
      <c r="G760" s="7"/>
      <c r="H760" s="36"/>
      <c r="I760" s="37"/>
      <c r="J760" s="6"/>
      <c r="K760" s="6"/>
      <c r="L760" s="6"/>
    </row>
    <row r="761" spans="2:12" ht="12.75">
      <c r="B761" s="6"/>
      <c r="C761" s="6"/>
      <c r="D761" s="8"/>
      <c r="E761" s="9"/>
      <c r="F761" s="9"/>
      <c r="G761" s="7"/>
      <c r="H761" s="36"/>
      <c r="I761" s="37"/>
      <c r="J761" s="6"/>
      <c r="K761" s="6"/>
      <c r="L761" s="6"/>
    </row>
    <row r="762" spans="2:12" ht="12.75">
      <c r="B762" s="6"/>
      <c r="C762" s="6"/>
      <c r="D762" s="8"/>
      <c r="E762" s="9"/>
      <c r="F762" s="9"/>
      <c r="G762" s="7"/>
      <c r="H762" s="36"/>
      <c r="I762" s="37"/>
      <c r="J762" s="6"/>
      <c r="K762" s="6"/>
      <c r="L762" s="6"/>
    </row>
    <row r="763" spans="2:12" ht="12.75">
      <c r="B763" s="6"/>
      <c r="C763" s="6"/>
      <c r="D763" s="8"/>
      <c r="E763" s="9"/>
      <c r="F763" s="9"/>
      <c r="G763" s="7"/>
      <c r="H763" s="36"/>
      <c r="I763" s="37"/>
      <c r="J763" s="6"/>
      <c r="K763" s="6"/>
      <c r="L763" s="6"/>
    </row>
    <row r="764" spans="2:12" ht="12.75">
      <c r="B764" s="6"/>
      <c r="C764" s="6"/>
      <c r="D764" s="8"/>
      <c r="E764" s="9"/>
      <c r="F764" s="9"/>
      <c r="G764" s="7"/>
      <c r="H764" s="36"/>
      <c r="I764" s="37"/>
      <c r="J764" s="6"/>
      <c r="K764" s="6"/>
      <c r="L764" s="6"/>
    </row>
    <row r="765" spans="2:12" ht="12.75">
      <c r="B765" s="6"/>
      <c r="C765" s="6"/>
      <c r="D765" s="8"/>
      <c r="E765" s="9"/>
      <c r="F765" s="9"/>
      <c r="G765" s="7"/>
      <c r="H765" s="36"/>
      <c r="I765" s="37"/>
      <c r="J765" s="6"/>
      <c r="K765" s="6"/>
      <c r="L765" s="6"/>
    </row>
    <row r="766" spans="2:12" ht="12.75">
      <c r="B766" s="6"/>
      <c r="C766" s="6"/>
      <c r="D766" s="8"/>
      <c r="E766" s="9"/>
      <c r="F766" s="9"/>
      <c r="G766" s="7"/>
      <c r="H766" s="36"/>
      <c r="I766" s="37"/>
      <c r="J766" s="6"/>
      <c r="K766" s="6"/>
      <c r="L766" s="6"/>
    </row>
    <row r="767" spans="2:12" ht="12.75">
      <c r="B767" s="6"/>
      <c r="C767" s="6"/>
      <c r="D767" s="8"/>
      <c r="E767" s="9"/>
      <c r="F767" s="9"/>
      <c r="G767" s="7"/>
      <c r="H767" s="36"/>
      <c r="I767" s="37"/>
      <c r="J767" s="6"/>
      <c r="K767" s="6"/>
      <c r="L767" s="6"/>
    </row>
    <row r="768" spans="2:12" ht="12.75">
      <c r="B768" s="6"/>
      <c r="C768" s="6"/>
      <c r="D768" s="8"/>
      <c r="E768" s="9"/>
      <c r="F768" s="9"/>
      <c r="G768" s="7"/>
      <c r="H768" s="36"/>
      <c r="I768" s="37"/>
      <c r="J768" s="6"/>
      <c r="K768" s="6"/>
      <c r="L768" s="6"/>
    </row>
    <row r="769" spans="2:12" ht="12.75">
      <c r="B769" s="6"/>
      <c r="C769" s="6"/>
      <c r="D769" s="8"/>
      <c r="E769" s="9"/>
      <c r="F769" s="9"/>
      <c r="G769" s="7"/>
      <c r="H769" s="36"/>
      <c r="I769" s="37"/>
      <c r="J769" s="6"/>
      <c r="K769" s="6"/>
      <c r="L769" s="6"/>
    </row>
    <row r="770" spans="2:12" ht="12.75">
      <c r="B770" s="6"/>
      <c r="C770" s="6"/>
      <c r="D770" s="8"/>
      <c r="E770" s="9"/>
      <c r="F770" s="9"/>
      <c r="G770" s="7"/>
      <c r="H770" s="36"/>
      <c r="I770" s="37"/>
      <c r="J770" s="6"/>
      <c r="K770" s="6"/>
      <c r="L770" s="6"/>
    </row>
    <row r="771" spans="2:12" ht="12.75">
      <c r="B771" s="6"/>
      <c r="C771" s="6"/>
      <c r="D771" s="8"/>
      <c r="E771" s="9"/>
      <c r="F771" s="9"/>
      <c r="G771" s="7"/>
      <c r="H771" s="36"/>
      <c r="I771" s="37"/>
      <c r="J771" s="6"/>
      <c r="K771" s="6"/>
      <c r="L771" s="6"/>
    </row>
    <row r="772" spans="2:12" ht="12.75">
      <c r="B772" s="6"/>
      <c r="C772" s="6"/>
      <c r="D772" s="8"/>
      <c r="E772" s="9"/>
      <c r="F772" s="9"/>
      <c r="G772" s="7"/>
      <c r="H772" s="36"/>
      <c r="I772" s="37"/>
      <c r="J772" s="6"/>
      <c r="K772" s="6"/>
      <c r="L772" s="6"/>
    </row>
    <row r="773" spans="2:12" ht="12.75">
      <c r="B773" s="6"/>
      <c r="C773" s="6"/>
      <c r="D773" s="8"/>
      <c r="E773" s="9"/>
      <c r="F773" s="9"/>
      <c r="G773" s="7"/>
      <c r="H773" s="36"/>
      <c r="I773" s="37"/>
      <c r="J773" s="6"/>
      <c r="K773" s="6"/>
      <c r="L773" s="6"/>
    </row>
    <row r="774" spans="2:12" ht="12.75">
      <c r="B774" s="6"/>
      <c r="C774" s="6"/>
      <c r="D774" s="8"/>
      <c r="E774" s="9"/>
      <c r="F774" s="9"/>
      <c r="G774" s="7"/>
      <c r="H774" s="36"/>
      <c r="I774" s="37"/>
      <c r="J774" s="6"/>
      <c r="K774" s="6"/>
      <c r="L774" s="6"/>
    </row>
    <row r="775" spans="2:12" ht="12.75">
      <c r="B775" s="6"/>
      <c r="C775" s="6"/>
      <c r="D775" s="8"/>
      <c r="E775" s="9"/>
      <c r="F775" s="9"/>
      <c r="G775" s="7"/>
      <c r="H775" s="36"/>
      <c r="I775" s="37"/>
      <c r="J775" s="6"/>
      <c r="K775" s="6"/>
      <c r="L775" s="6"/>
    </row>
    <row r="776" spans="2:12" ht="12.75">
      <c r="B776" s="6"/>
      <c r="C776" s="6"/>
      <c r="D776" s="8"/>
      <c r="E776" s="9"/>
      <c r="F776" s="9"/>
      <c r="G776" s="7"/>
      <c r="H776" s="36"/>
      <c r="I776" s="37"/>
      <c r="J776" s="6"/>
      <c r="K776" s="6"/>
      <c r="L776" s="6"/>
    </row>
    <row r="777" spans="2:12" ht="12.75">
      <c r="B777" s="6"/>
      <c r="C777" s="6"/>
      <c r="D777" s="8"/>
      <c r="E777" s="9"/>
      <c r="F777" s="9"/>
      <c r="G777" s="7"/>
      <c r="H777" s="36"/>
      <c r="I777" s="37"/>
      <c r="J777" s="6"/>
      <c r="K777" s="6"/>
      <c r="L777" s="6"/>
    </row>
    <row r="778" spans="2:12" ht="12.75">
      <c r="B778" s="6"/>
      <c r="C778" s="6"/>
      <c r="D778" s="8"/>
      <c r="E778" s="9"/>
      <c r="F778" s="9"/>
      <c r="G778" s="7"/>
      <c r="H778" s="36"/>
      <c r="I778" s="37"/>
      <c r="J778" s="6"/>
      <c r="K778" s="6"/>
      <c r="L778" s="6"/>
    </row>
    <row r="779" spans="2:12" ht="12.75">
      <c r="B779" s="6"/>
      <c r="C779" s="6"/>
      <c r="D779" s="8"/>
      <c r="E779" s="9"/>
      <c r="F779" s="9"/>
      <c r="G779" s="7"/>
      <c r="H779" s="36"/>
      <c r="I779" s="37"/>
      <c r="J779" s="6"/>
      <c r="K779" s="6"/>
      <c r="L779" s="6"/>
    </row>
    <row r="780" spans="2:12" ht="12.75">
      <c r="B780" s="6"/>
      <c r="C780" s="6"/>
      <c r="D780" s="8"/>
      <c r="E780" s="9"/>
      <c r="F780" s="9"/>
      <c r="G780" s="7"/>
      <c r="H780" s="36"/>
      <c r="I780" s="37"/>
      <c r="J780" s="6"/>
      <c r="K780" s="6"/>
      <c r="L780" s="6"/>
    </row>
    <row r="781" spans="2:12" ht="12.75">
      <c r="B781" s="6"/>
      <c r="C781" s="6"/>
      <c r="D781" s="8"/>
      <c r="E781" s="9"/>
      <c r="F781" s="9"/>
      <c r="G781" s="7"/>
      <c r="H781" s="36"/>
      <c r="I781" s="37"/>
      <c r="J781" s="6"/>
      <c r="K781" s="6"/>
      <c r="L781" s="6"/>
    </row>
    <row r="782" spans="2:12" ht="12.75">
      <c r="B782" s="6"/>
      <c r="C782" s="6"/>
      <c r="D782" s="8"/>
      <c r="E782" s="9"/>
      <c r="F782" s="9"/>
      <c r="G782" s="7"/>
      <c r="H782" s="36"/>
      <c r="I782" s="37"/>
      <c r="J782" s="6"/>
      <c r="K782" s="6"/>
      <c r="L782" s="6"/>
    </row>
    <row r="783" spans="2:12" ht="12.75">
      <c r="B783" s="6"/>
      <c r="C783" s="6"/>
      <c r="D783" s="8"/>
      <c r="E783" s="9"/>
      <c r="F783" s="9"/>
      <c r="G783" s="7"/>
      <c r="H783" s="36"/>
      <c r="I783" s="37"/>
      <c r="J783" s="6"/>
      <c r="K783" s="6"/>
      <c r="L783" s="6"/>
    </row>
    <row r="784" spans="2:12" ht="12.75">
      <c r="B784" s="6"/>
      <c r="C784" s="6"/>
      <c r="D784" s="8"/>
      <c r="E784" s="9"/>
      <c r="F784" s="9"/>
      <c r="G784" s="7"/>
      <c r="H784" s="36"/>
      <c r="I784" s="37"/>
      <c r="J784" s="6"/>
      <c r="K784" s="6"/>
      <c r="L784" s="6"/>
    </row>
    <row r="785" spans="2:12" ht="12.75">
      <c r="B785" s="6"/>
      <c r="C785" s="6"/>
      <c r="D785" s="8"/>
      <c r="E785" s="9"/>
      <c r="F785" s="9"/>
      <c r="G785" s="7"/>
      <c r="H785" s="36"/>
      <c r="I785" s="37"/>
      <c r="J785" s="6"/>
      <c r="K785" s="6"/>
      <c r="L785" s="6"/>
    </row>
    <row r="786" spans="2:12" ht="12.75">
      <c r="B786" s="6"/>
      <c r="C786" s="6"/>
      <c r="D786" s="8"/>
      <c r="E786" s="9"/>
      <c r="F786" s="9"/>
      <c r="G786" s="7"/>
      <c r="H786" s="36"/>
      <c r="I786" s="37"/>
      <c r="J786" s="6"/>
      <c r="K786" s="6"/>
      <c r="L786" s="6"/>
    </row>
    <row r="787" spans="2:12" ht="12.75">
      <c r="B787" s="6"/>
      <c r="C787" s="6"/>
      <c r="D787" s="8"/>
      <c r="E787" s="9"/>
      <c r="F787" s="9"/>
      <c r="G787" s="7"/>
      <c r="H787" s="36"/>
      <c r="I787" s="37"/>
      <c r="J787" s="6"/>
      <c r="K787" s="6"/>
      <c r="L787" s="6"/>
    </row>
    <row r="788" spans="2:12" ht="12.75">
      <c r="B788" s="6"/>
      <c r="C788" s="6"/>
      <c r="D788" s="8"/>
      <c r="E788" s="9"/>
      <c r="F788" s="9"/>
      <c r="G788" s="7"/>
      <c r="H788" s="36"/>
      <c r="I788" s="37"/>
      <c r="J788" s="6"/>
      <c r="K788" s="6"/>
      <c r="L788" s="6"/>
    </row>
    <row r="789" spans="2:12" ht="12.75">
      <c r="B789" s="6"/>
      <c r="C789" s="6"/>
      <c r="D789" s="8"/>
      <c r="E789" s="9"/>
      <c r="F789" s="9"/>
      <c r="G789" s="7"/>
      <c r="H789" s="36"/>
      <c r="I789" s="37"/>
      <c r="J789" s="6"/>
      <c r="K789" s="6"/>
      <c r="L789" s="6"/>
    </row>
    <row r="790" spans="2:12" ht="12.75">
      <c r="B790" s="6"/>
      <c r="C790" s="6"/>
      <c r="D790" s="8"/>
      <c r="E790" s="9"/>
      <c r="F790" s="9"/>
      <c r="G790" s="7"/>
      <c r="H790" s="36"/>
      <c r="I790" s="37"/>
      <c r="J790" s="6"/>
      <c r="K790" s="6"/>
      <c r="L790" s="6"/>
    </row>
    <row r="791" spans="2:12" ht="12.75">
      <c r="B791" s="6"/>
      <c r="C791" s="6"/>
      <c r="D791" s="8"/>
      <c r="E791" s="9"/>
      <c r="F791" s="9"/>
      <c r="G791" s="7"/>
      <c r="H791" s="36"/>
      <c r="I791" s="37"/>
      <c r="J791" s="6"/>
      <c r="K791" s="6"/>
      <c r="L791" s="6"/>
    </row>
    <row r="792" spans="2:12" ht="12.75">
      <c r="B792" s="6"/>
      <c r="C792" s="6"/>
      <c r="D792" s="8"/>
      <c r="E792" s="9"/>
      <c r="F792" s="9"/>
      <c r="G792" s="7"/>
      <c r="H792" s="36"/>
      <c r="I792" s="37"/>
      <c r="J792" s="6"/>
      <c r="K792" s="6"/>
      <c r="L792" s="6"/>
    </row>
    <row r="793" spans="2:12" ht="12.75">
      <c r="B793" s="6"/>
      <c r="C793" s="6"/>
      <c r="D793" s="8"/>
      <c r="E793" s="9"/>
      <c r="F793" s="9"/>
      <c r="G793" s="7"/>
      <c r="H793" s="36"/>
      <c r="I793" s="37"/>
      <c r="J793" s="6"/>
      <c r="K793" s="6"/>
      <c r="L793" s="6"/>
    </row>
    <row r="794" spans="2:12" ht="12.75">
      <c r="B794" s="6"/>
      <c r="C794" s="6"/>
      <c r="D794" s="8"/>
      <c r="E794" s="9"/>
      <c r="F794" s="9"/>
      <c r="G794" s="7"/>
      <c r="H794" s="36"/>
      <c r="I794" s="37"/>
      <c r="J794" s="6"/>
      <c r="K794" s="6"/>
      <c r="L794" s="6"/>
    </row>
    <row r="795" spans="2:12" ht="12.75">
      <c r="B795" s="6"/>
      <c r="C795" s="6"/>
      <c r="D795" s="8"/>
      <c r="E795" s="9"/>
      <c r="F795" s="9"/>
      <c r="G795" s="7"/>
      <c r="H795" s="36"/>
      <c r="I795" s="37"/>
      <c r="J795" s="6"/>
      <c r="K795" s="6"/>
      <c r="L795" s="6"/>
    </row>
    <row r="796" spans="2:12" ht="12.75">
      <c r="B796" s="6"/>
      <c r="C796" s="6"/>
      <c r="D796" s="8"/>
      <c r="E796" s="9"/>
      <c r="F796" s="9"/>
      <c r="G796" s="7"/>
      <c r="H796" s="36"/>
      <c r="I796" s="37"/>
      <c r="J796" s="6"/>
      <c r="K796" s="6"/>
      <c r="L796" s="6"/>
    </row>
    <row r="797" spans="2:12" ht="12.75">
      <c r="B797" s="6"/>
      <c r="C797" s="6"/>
      <c r="D797" s="8"/>
      <c r="E797" s="9"/>
      <c r="F797" s="9"/>
      <c r="G797" s="7"/>
      <c r="H797" s="36"/>
      <c r="I797" s="37"/>
      <c r="J797" s="6"/>
      <c r="K797" s="6"/>
      <c r="L797" s="6"/>
    </row>
    <row r="798" spans="2:12" ht="12.75">
      <c r="B798" s="6"/>
      <c r="C798" s="6"/>
      <c r="D798" s="8"/>
      <c r="E798" s="9"/>
      <c r="F798" s="9"/>
      <c r="G798" s="7"/>
      <c r="H798" s="36"/>
      <c r="I798" s="37"/>
      <c r="J798" s="6"/>
      <c r="K798" s="6"/>
      <c r="L798" s="6"/>
    </row>
    <row r="799" spans="2:12" ht="12.75">
      <c r="B799" s="6"/>
      <c r="C799" s="6"/>
      <c r="D799" s="8"/>
      <c r="E799" s="9"/>
      <c r="F799" s="9"/>
      <c r="G799" s="7"/>
      <c r="H799" s="36"/>
      <c r="I799" s="37"/>
      <c r="J799" s="6"/>
      <c r="K799" s="6"/>
      <c r="L799" s="6"/>
    </row>
    <row r="800" spans="2:12" ht="12.75">
      <c r="B800" s="6"/>
      <c r="C800" s="6"/>
      <c r="D800" s="8"/>
      <c r="E800" s="9"/>
      <c r="F800" s="9"/>
      <c r="G800" s="7"/>
      <c r="H800" s="36"/>
      <c r="I800" s="37"/>
      <c r="J800" s="6"/>
      <c r="K800" s="6"/>
      <c r="L800" s="6"/>
    </row>
    <row r="801" spans="2:12" ht="12.75">
      <c r="B801" s="6"/>
      <c r="C801" s="6"/>
      <c r="D801" s="8"/>
      <c r="E801" s="9"/>
      <c r="F801" s="9"/>
      <c r="G801" s="7"/>
      <c r="H801" s="36"/>
      <c r="I801" s="37"/>
      <c r="J801" s="6"/>
      <c r="K801" s="6"/>
      <c r="L801" s="6"/>
    </row>
    <row r="802" spans="2:12" ht="12.75">
      <c r="B802" s="6"/>
      <c r="C802" s="6"/>
      <c r="D802" s="8"/>
      <c r="E802" s="9"/>
      <c r="F802" s="9"/>
      <c r="G802" s="7"/>
      <c r="H802" s="36"/>
      <c r="I802" s="37"/>
      <c r="J802" s="6"/>
      <c r="K802" s="6"/>
      <c r="L802" s="6"/>
    </row>
    <row r="803" spans="2:12" ht="12.75">
      <c r="B803" s="6"/>
      <c r="C803" s="6"/>
      <c r="D803" s="8"/>
      <c r="E803" s="9"/>
      <c r="F803" s="9"/>
      <c r="G803" s="7"/>
      <c r="H803" s="36"/>
      <c r="I803" s="37"/>
      <c r="J803" s="6"/>
      <c r="K803" s="6"/>
      <c r="L803" s="6"/>
    </row>
    <row r="804" spans="2:12" ht="12.75">
      <c r="B804" s="6"/>
      <c r="C804" s="6"/>
      <c r="D804" s="8"/>
      <c r="E804" s="9"/>
      <c r="F804" s="9"/>
      <c r="G804" s="7"/>
      <c r="H804" s="36"/>
      <c r="I804" s="37"/>
      <c r="J804" s="6"/>
      <c r="K804" s="6"/>
      <c r="L804" s="6"/>
    </row>
    <row r="805" spans="2:12" ht="12.75">
      <c r="B805" s="6"/>
      <c r="C805" s="6"/>
      <c r="D805" s="8"/>
      <c r="E805" s="9"/>
      <c r="F805" s="9"/>
      <c r="G805" s="7"/>
      <c r="H805" s="36"/>
      <c r="I805" s="37"/>
      <c r="J805" s="6"/>
      <c r="K805" s="6"/>
      <c r="L805" s="6"/>
    </row>
    <row r="806" spans="2:12" ht="12.75">
      <c r="B806" s="6"/>
      <c r="C806" s="6"/>
      <c r="D806" s="8"/>
      <c r="E806" s="9"/>
      <c r="F806" s="9"/>
      <c r="G806" s="7"/>
      <c r="H806" s="36"/>
      <c r="I806" s="37"/>
      <c r="J806" s="6"/>
      <c r="K806" s="6"/>
      <c r="L806" s="6"/>
    </row>
    <row r="807" spans="2:12" ht="12.75">
      <c r="B807" s="6"/>
      <c r="C807" s="6"/>
      <c r="D807" s="8"/>
      <c r="E807" s="9"/>
      <c r="F807" s="9"/>
      <c r="G807" s="7"/>
      <c r="H807" s="36"/>
      <c r="I807" s="37"/>
      <c r="J807" s="6"/>
      <c r="K807" s="6"/>
      <c r="L807" s="6"/>
    </row>
    <row r="808" spans="2:12" ht="12.75">
      <c r="B808" s="6"/>
      <c r="C808" s="6"/>
      <c r="D808" s="8"/>
      <c r="E808" s="9"/>
      <c r="F808" s="9"/>
      <c r="G808" s="7"/>
      <c r="H808" s="36"/>
      <c r="I808" s="37"/>
      <c r="J808" s="6"/>
      <c r="K808" s="6"/>
      <c r="L808" s="6"/>
    </row>
    <row r="809" spans="2:12" ht="12.75">
      <c r="B809" s="6"/>
      <c r="C809" s="6"/>
      <c r="D809" s="8"/>
      <c r="E809" s="9"/>
      <c r="F809" s="9"/>
      <c r="G809" s="7"/>
      <c r="H809" s="36"/>
      <c r="I809" s="37"/>
      <c r="J809" s="6"/>
      <c r="K809" s="6"/>
      <c r="L809" s="6"/>
    </row>
    <row r="810" spans="2:12" ht="12.75">
      <c r="B810" s="6"/>
      <c r="C810" s="6"/>
      <c r="D810" s="8"/>
      <c r="E810" s="9"/>
      <c r="F810" s="9"/>
      <c r="G810" s="7"/>
      <c r="H810" s="36"/>
      <c r="I810" s="37"/>
      <c r="J810" s="6"/>
      <c r="K810" s="6"/>
      <c r="L810" s="6"/>
    </row>
    <row r="811" spans="2:12" ht="12.75">
      <c r="B811" s="6"/>
      <c r="C811" s="6"/>
      <c r="D811" s="8"/>
      <c r="E811" s="9"/>
      <c r="F811" s="9"/>
      <c r="G811" s="7"/>
      <c r="H811" s="36"/>
      <c r="I811" s="37"/>
      <c r="J811" s="6"/>
      <c r="K811" s="6"/>
      <c r="L811" s="6"/>
    </row>
    <row r="812" spans="2:12" ht="12.75">
      <c r="B812" s="6"/>
      <c r="C812" s="6"/>
      <c r="D812" s="8"/>
      <c r="E812" s="9"/>
      <c r="F812" s="9"/>
      <c r="G812" s="7"/>
      <c r="H812" s="36"/>
      <c r="I812" s="37"/>
      <c r="J812" s="6"/>
      <c r="K812" s="6"/>
      <c r="L812" s="6"/>
    </row>
    <row r="813" spans="2:12" ht="12.75">
      <c r="B813" s="6"/>
      <c r="C813" s="6"/>
      <c r="D813" s="8"/>
      <c r="E813" s="9"/>
      <c r="F813" s="9"/>
      <c r="G813" s="7"/>
      <c r="H813" s="36"/>
      <c r="I813" s="37"/>
      <c r="J813" s="6"/>
      <c r="K813" s="6"/>
      <c r="L813" s="6"/>
    </row>
    <row r="814" spans="2:12" ht="12.75">
      <c r="B814" s="6"/>
      <c r="C814" s="6"/>
      <c r="D814" s="8"/>
      <c r="E814" s="9"/>
      <c r="F814" s="9"/>
      <c r="G814" s="7"/>
      <c r="H814" s="36"/>
      <c r="I814" s="37"/>
      <c r="J814" s="6"/>
      <c r="K814" s="6"/>
      <c r="L814" s="6"/>
    </row>
    <row r="815" spans="2:12" ht="12.75">
      <c r="B815" s="6"/>
      <c r="C815" s="6"/>
      <c r="D815" s="8"/>
      <c r="E815" s="9"/>
      <c r="F815" s="9"/>
      <c r="G815" s="7"/>
      <c r="H815" s="36"/>
      <c r="I815" s="37"/>
      <c r="J815" s="6"/>
      <c r="K815" s="6"/>
      <c r="L815" s="6"/>
    </row>
    <row r="816" spans="2:12" ht="12.75">
      <c r="B816" s="6"/>
      <c r="C816" s="6"/>
      <c r="D816" s="8"/>
      <c r="E816" s="9"/>
      <c r="F816" s="9"/>
      <c r="G816" s="7"/>
      <c r="H816" s="36"/>
      <c r="I816" s="37"/>
      <c r="J816" s="6"/>
      <c r="K816" s="6"/>
      <c r="L816" s="6"/>
    </row>
    <row r="817" spans="2:12" ht="12.75">
      <c r="B817" s="6"/>
      <c r="C817" s="6"/>
      <c r="D817" s="8"/>
      <c r="E817" s="9"/>
      <c r="F817" s="9"/>
      <c r="G817" s="7"/>
      <c r="H817" s="36"/>
      <c r="I817" s="37"/>
      <c r="J817" s="6"/>
      <c r="K817" s="6"/>
      <c r="L817" s="6"/>
    </row>
    <row r="818" spans="2:12" ht="12.75">
      <c r="B818" s="6"/>
      <c r="C818" s="6"/>
      <c r="D818" s="8"/>
      <c r="E818" s="9"/>
      <c r="F818" s="9"/>
      <c r="G818" s="7"/>
      <c r="H818" s="36"/>
      <c r="I818" s="37"/>
      <c r="J818" s="6"/>
      <c r="K818" s="6"/>
      <c r="L818" s="6"/>
    </row>
    <row r="819" spans="2:12" ht="12.75">
      <c r="B819" s="6"/>
      <c r="C819" s="6"/>
      <c r="D819" s="8"/>
      <c r="E819" s="9"/>
      <c r="F819" s="9"/>
      <c r="G819" s="7"/>
      <c r="H819" s="36"/>
      <c r="I819" s="37"/>
      <c r="J819" s="6"/>
      <c r="K819" s="6"/>
      <c r="L819" s="6"/>
    </row>
    <row r="820" spans="2:12" ht="12.75">
      <c r="B820" s="6"/>
      <c r="C820" s="6"/>
      <c r="D820" s="8"/>
      <c r="E820" s="9"/>
      <c r="F820" s="9"/>
      <c r="G820" s="7"/>
      <c r="H820" s="36"/>
      <c r="I820" s="37"/>
      <c r="J820" s="6"/>
      <c r="K820" s="6"/>
      <c r="L820" s="6"/>
    </row>
    <row r="821" spans="2:12" ht="12.75">
      <c r="B821" s="6"/>
      <c r="C821" s="6"/>
      <c r="D821" s="8"/>
      <c r="E821" s="9"/>
      <c r="F821" s="9"/>
      <c r="G821" s="7"/>
      <c r="H821" s="36"/>
      <c r="I821" s="37"/>
      <c r="J821" s="6"/>
      <c r="K821" s="6"/>
      <c r="L821" s="6"/>
    </row>
    <row r="822" spans="2:12" ht="12.75">
      <c r="B822" s="6"/>
      <c r="C822" s="6"/>
      <c r="D822" s="8"/>
      <c r="E822" s="9"/>
      <c r="F822" s="9"/>
      <c r="G822" s="7"/>
      <c r="H822" s="36"/>
      <c r="I822" s="37"/>
      <c r="J822" s="6"/>
      <c r="K822" s="6"/>
      <c r="L822" s="6"/>
    </row>
    <row r="823" spans="2:12" ht="12.75">
      <c r="B823" s="6"/>
      <c r="C823" s="6"/>
      <c r="D823" s="8"/>
      <c r="E823" s="9"/>
      <c r="F823" s="9"/>
      <c r="G823" s="7"/>
      <c r="H823" s="36"/>
      <c r="I823" s="37"/>
      <c r="J823" s="6"/>
      <c r="K823" s="6"/>
      <c r="L823" s="6"/>
    </row>
    <row r="824" spans="2:12" ht="12.75">
      <c r="B824" s="6"/>
      <c r="C824" s="6"/>
      <c r="D824" s="8"/>
      <c r="E824" s="9"/>
      <c r="F824" s="9"/>
      <c r="G824" s="7"/>
      <c r="H824" s="36"/>
      <c r="I824" s="37"/>
      <c r="J824" s="6"/>
      <c r="K824" s="6"/>
      <c r="L824" s="6"/>
    </row>
    <row r="825" spans="2:12" ht="12.75">
      <c r="B825" s="6"/>
      <c r="C825" s="6"/>
      <c r="D825" s="8"/>
      <c r="E825" s="9"/>
      <c r="F825" s="9"/>
      <c r="G825" s="7"/>
      <c r="H825" s="36"/>
      <c r="I825" s="37"/>
      <c r="J825" s="6"/>
      <c r="K825" s="6"/>
      <c r="L825" s="6"/>
    </row>
    <row r="826" spans="2:12" ht="12.75">
      <c r="B826" s="6"/>
      <c r="C826" s="6"/>
      <c r="D826" s="8"/>
      <c r="E826" s="9"/>
      <c r="F826" s="9"/>
      <c r="G826" s="7"/>
      <c r="H826" s="36"/>
      <c r="I826" s="37"/>
      <c r="J826" s="6"/>
      <c r="K826" s="6"/>
      <c r="L826" s="6"/>
    </row>
    <row r="827" spans="2:12" ht="12.75">
      <c r="B827" s="6"/>
      <c r="C827" s="6"/>
      <c r="D827" s="8"/>
      <c r="E827" s="9"/>
      <c r="F827" s="9"/>
      <c r="G827" s="7"/>
      <c r="H827" s="36"/>
      <c r="I827" s="37"/>
      <c r="J827" s="6"/>
      <c r="K827" s="6"/>
      <c r="L827" s="6"/>
    </row>
    <row r="828" spans="2:12" ht="12.75">
      <c r="B828" s="6"/>
      <c r="C828" s="6"/>
      <c r="D828" s="8"/>
      <c r="E828" s="9"/>
      <c r="F828" s="9"/>
      <c r="G828" s="7"/>
      <c r="H828" s="36"/>
      <c r="I828" s="37"/>
      <c r="J828" s="6"/>
      <c r="K828" s="6"/>
      <c r="L828" s="6"/>
    </row>
    <row r="829" spans="2:12" ht="12.75">
      <c r="B829" s="6"/>
      <c r="C829" s="6"/>
      <c r="D829" s="8"/>
      <c r="E829" s="9"/>
      <c r="F829" s="9"/>
      <c r="G829" s="7"/>
      <c r="H829" s="36"/>
      <c r="I829" s="37"/>
      <c r="J829" s="6"/>
      <c r="K829" s="6"/>
      <c r="L829" s="6"/>
    </row>
    <row r="830" spans="2:12" ht="12.75">
      <c r="B830" s="6"/>
      <c r="C830" s="6"/>
      <c r="D830" s="8"/>
      <c r="E830" s="9"/>
      <c r="F830" s="9"/>
      <c r="G830" s="7"/>
      <c r="H830" s="36"/>
      <c r="I830" s="37"/>
      <c r="J830" s="6"/>
      <c r="K830" s="6"/>
      <c r="L830" s="6"/>
    </row>
    <row r="831" spans="2:12" ht="12.75">
      <c r="B831" s="6"/>
      <c r="C831" s="6"/>
      <c r="D831" s="8"/>
      <c r="E831" s="9"/>
      <c r="F831" s="9"/>
      <c r="G831" s="7"/>
      <c r="H831" s="36"/>
      <c r="I831" s="37"/>
      <c r="J831" s="6"/>
      <c r="K831" s="6"/>
      <c r="L831" s="6"/>
    </row>
    <row r="832" spans="2:12" ht="12.75">
      <c r="B832" s="6"/>
      <c r="C832" s="6"/>
      <c r="D832" s="8"/>
      <c r="E832" s="9"/>
      <c r="F832" s="9"/>
      <c r="G832" s="7"/>
      <c r="H832" s="36"/>
      <c r="I832" s="37"/>
      <c r="J832" s="6"/>
      <c r="K832" s="6"/>
      <c r="L832" s="6"/>
    </row>
    <row r="833" spans="2:12" ht="12.75">
      <c r="B833" s="6"/>
      <c r="C833" s="6"/>
      <c r="D833" s="8"/>
      <c r="E833" s="9"/>
      <c r="F833" s="9"/>
      <c r="G833" s="7"/>
      <c r="H833" s="36"/>
      <c r="I833" s="37"/>
      <c r="J833" s="6"/>
      <c r="K833" s="6"/>
      <c r="L833" s="6"/>
    </row>
    <row r="834" spans="2:12" ht="12.75">
      <c r="B834" s="6"/>
      <c r="C834" s="6"/>
      <c r="D834" s="8"/>
      <c r="E834" s="9"/>
      <c r="F834" s="9"/>
      <c r="G834" s="7"/>
      <c r="H834" s="36"/>
      <c r="I834" s="37"/>
      <c r="J834" s="6"/>
      <c r="K834" s="6"/>
      <c r="L834" s="6"/>
    </row>
    <row r="835" spans="2:12" ht="12.75">
      <c r="B835" s="6"/>
      <c r="C835" s="6"/>
      <c r="D835" s="8"/>
      <c r="E835" s="9"/>
      <c r="F835" s="9"/>
      <c r="G835" s="7"/>
      <c r="H835" s="36"/>
      <c r="I835" s="37"/>
      <c r="J835" s="6"/>
      <c r="K835" s="6"/>
      <c r="L835" s="6"/>
    </row>
    <row r="836" spans="2:12" ht="12.75">
      <c r="B836" s="6"/>
      <c r="C836" s="6"/>
      <c r="D836" s="8"/>
      <c r="E836" s="9"/>
      <c r="F836" s="9"/>
      <c r="G836" s="7"/>
      <c r="H836" s="36"/>
      <c r="I836" s="37"/>
      <c r="J836" s="6"/>
      <c r="K836" s="6"/>
      <c r="L836" s="6"/>
    </row>
    <row r="837" spans="2:12" ht="12.75">
      <c r="B837" s="6"/>
      <c r="C837" s="6"/>
      <c r="D837" s="8"/>
      <c r="E837" s="9"/>
      <c r="F837" s="9"/>
      <c r="G837" s="7"/>
      <c r="H837" s="36"/>
      <c r="I837" s="37"/>
      <c r="J837" s="6"/>
      <c r="K837" s="6"/>
      <c r="L837" s="6"/>
    </row>
    <row r="838" spans="2:12" ht="12.75">
      <c r="B838" s="6"/>
      <c r="C838" s="6"/>
      <c r="D838" s="8"/>
      <c r="E838" s="9"/>
      <c r="F838" s="9"/>
      <c r="G838" s="7"/>
      <c r="H838" s="36"/>
      <c r="I838" s="37"/>
      <c r="J838" s="6"/>
      <c r="K838" s="6"/>
      <c r="L838" s="6"/>
    </row>
    <row r="839" spans="2:12" ht="12.75">
      <c r="B839" s="6"/>
      <c r="C839" s="6"/>
      <c r="D839" s="8"/>
      <c r="E839" s="9"/>
      <c r="F839" s="9"/>
      <c r="G839" s="7"/>
      <c r="H839" s="36"/>
      <c r="I839" s="37"/>
      <c r="J839" s="6"/>
      <c r="K839" s="6"/>
      <c r="L839" s="6"/>
    </row>
    <row r="840" spans="2:12" ht="12.75">
      <c r="B840" s="6"/>
      <c r="C840" s="6"/>
      <c r="D840" s="8"/>
      <c r="E840" s="9"/>
      <c r="F840" s="9"/>
      <c r="G840" s="7"/>
      <c r="H840" s="36"/>
      <c r="I840" s="37"/>
      <c r="J840" s="6"/>
      <c r="K840" s="6"/>
      <c r="L840" s="6"/>
    </row>
    <row r="841" spans="2:12" ht="12.75">
      <c r="B841" s="6"/>
      <c r="C841" s="6"/>
      <c r="D841" s="8"/>
      <c r="E841" s="9"/>
      <c r="F841" s="9"/>
      <c r="G841" s="7"/>
      <c r="H841" s="36"/>
      <c r="I841" s="37"/>
      <c r="J841" s="6"/>
      <c r="K841" s="6"/>
      <c r="L841" s="6"/>
    </row>
    <row r="842" spans="2:12" ht="12.75">
      <c r="B842" s="6"/>
      <c r="C842" s="6"/>
      <c r="D842" s="8"/>
      <c r="E842" s="9"/>
      <c r="F842" s="9"/>
      <c r="G842" s="7"/>
      <c r="H842" s="36"/>
      <c r="I842" s="37"/>
      <c r="J842" s="6"/>
      <c r="K842" s="6"/>
      <c r="L842" s="6"/>
    </row>
    <row r="843" spans="2:12" ht="12.75">
      <c r="B843" s="6"/>
      <c r="C843" s="6"/>
      <c r="D843" s="8"/>
      <c r="E843" s="9"/>
      <c r="F843" s="9"/>
      <c r="G843" s="7"/>
      <c r="H843" s="36"/>
      <c r="I843" s="37"/>
      <c r="J843" s="6"/>
      <c r="K843" s="6"/>
      <c r="L843" s="6"/>
    </row>
    <row r="844" spans="2:12" ht="12.75">
      <c r="B844" s="6"/>
      <c r="C844" s="6"/>
      <c r="D844" s="8"/>
      <c r="E844" s="9"/>
      <c r="F844" s="9"/>
      <c r="G844" s="7"/>
      <c r="H844" s="36"/>
      <c r="I844" s="37"/>
      <c r="J844" s="6"/>
      <c r="K844" s="6"/>
      <c r="L844" s="6"/>
    </row>
    <row r="845" spans="2:12" ht="12.75">
      <c r="B845" s="6"/>
      <c r="C845" s="6"/>
      <c r="D845" s="8"/>
      <c r="E845" s="9"/>
      <c r="F845" s="9"/>
      <c r="G845" s="7"/>
      <c r="H845" s="36"/>
      <c r="I845" s="37"/>
      <c r="J845" s="6"/>
      <c r="K845" s="6"/>
      <c r="L845" s="6"/>
    </row>
    <row r="846" spans="2:12" ht="12.75">
      <c r="B846" s="6"/>
      <c r="C846" s="6"/>
      <c r="D846" s="8"/>
      <c r="E846" s="9"/>
      <c r="F846" s="9"/>
      <c r="G846" s="7"/>
      <c r="H846" s="36"/>
      <c r="I846" s="37"/>
      <c r="J846" s="6"/>
      <c r="K846" s="6"/>
      <c r="L846" s="6"/>
    </row>
    <row r="847" spans="2:12" ht="12.75">
      <c r="B847" s="6"/>
      <c r="C847" s="6"/>
      <c r="D847" s="8"/>
      <c r="E847" s="9"/>
      <c r="F847" s="9"/>
      <c r="G847" s="7"/>
      <c r="H847" s="36"/>
      <c r="I847" s="37"/>
      <c r="J847" s="6"/>
      <c r="K847" s="6"/>
      <c r="L847" s="6"/>
    </row>
    <row r="848" spans="2:12" ht="12.75">
      <c r="B848" s="6"/>
      <c r="C848" s="6"/>
      <c r="D848" s="8"/>
      <c r="E848" s="9"/>
      <c r="F848" s="9"/>
      <c r="G848" s="7"/>
      <c r="H848" s="36"/>
      <c r="I848" s="37"/>
      <c r="J848" s="6"/>
      <c r="K848" s="6"/>
      <c r="L848" s="6"/>
    </row>
    <row r="849" spans="2:12" ht="12.75">
      <c r="B849" s="6"/>
      <c r="C849" s="6"/>
      <c r="D849" s="8"/>
      <c r="E849" s="9"/>
      <c r="F849" s="9"/>
      <c r="G849" s="7"/>
      <c r="H849" s="36"/>
      <c r="I849" s="37"/>
      <c r="J849" s="6"/>
      <c r="K849" s="6"/>
      <c r="L849" s="6"/>
    </row>
    <row r="850" spans="2:12" ht="12.75">
      <c r="B850" s="6"/>
      <c r="C850" s="6"/>
      <c r="D850" s="8"/>
      <c r="E850" s="9"/>
      <c r="F850" s="9"/>
      <c r="G850" s="7"/>
      <c r="H850" s="36"/>
      <c r="I850" s="37"/>
      <c r="J850" s="6"/>
      <c r="K850" s="6"/>
      <c r="L850" s="6"/>
    </row>
    <row r="851" spans="2:12" ht="12.75">
      <c r="B851" s="6"/>
      <c r="C851" s="6"/>
      <c r="D851" s="8"/>
      <c r="E851" s="9"/>
      <c r="F851" s="9"/>
      <c r="G851" s="7"/>
      <c r="H851" s="36"/>
      <c r="I851" s="37"/>
      <c r="J851" s="6"/>
      <c r="K851" s="6"/>
      <c r="L851" s="6"/>
    </row>
    <row r="852" spans="2:12" ht="12.75">
      <c r="B852" s="6"/>
      <c r="C852" s="6"/>
      <c r="D852" s="8"/>
      <c r="E852" s="9"/>
      <c r="F852" s="9"/>
      <c r="G852" s="7"/>
      <c r="H852" s="36"/>
      <c r="I852" s="37"/>
      <c r="J852" s="6"/>
      <c r="K852" s="6"/>
      <c r="L852" s="6"/>
    </row>
    <row r="853" spans="2:12" ht="12.75">
      <c r="B853" s="6"/>
      <c r="C853" s="6"/>
      <c r="D853" s="8"/>
      <c r="E853" s="9"/>
      <c r="F853" s="9"/>
      <c r="G853" s="7"/>
      <c r="H853" s="36"/>
      <c r="I853" s="37"/>
      <c r="J853" s="6"/>
      <c r="K853" s="6"/>
      <c r="L853" s="6"/>
    </row>
    <row r="854" spans="2:12" ht="12.75">
      <c r="B854" s="6"/>
      <c r="C854" s="6"/>
      <c r="D854" s="8"/>
      <c r="E854" s="9"/>
      <c r="F854" s="9"/>
      <c r="G854" s="7"/>
      <c r="H854" s="36"/>
      <c r="I854" s="37"/>
      <c r="J854" s="6"/>
      <c r="K854" s="6"/>
      <c r="L854" s="6"/>
    </row>
    <row r="855" spans="2:12" ht="12.75">
      <c r="B855" s="6"/>
      <c r="C855" s="6"/>
      <c r="D855" s="8"/>
      <c r="E855" s="9"/>
      <c r="F855" s="9"/>
      <c r="G855" s="7"/>
      <c r="H855" s="36"/>
      <c r="I855" s="37"/>
      <c r="J855" s="6"/>
      <c r="K855" s="6"/>
      <c r="L855" s="6"/>
    </row>
    <row r="856" spans="2:12" ht="12.75">
      <c r="B856" s="6"/>
      <c r="C856" s="6"/>
      <c r="D856" s="8"/>
      <c r="E856" s="9"/>
      <c r="F856" s="9"/>
      <c r="G856" s="7"/>
      <c r="H856" s="36"/>
      <c r="I856" s="37"/>
      <c r="J856" s="6"/>
      <c r="K856" s="6"/>
      <c r="L856" s="6"/>
    </row>
    <row r="857" spans="2:12" ht="12.75">
      <c r="B857" s="6"/>
      <c r="C857" s="6"/>
      <c r="D857" s="8"/>
      <c r="E857" s="9"/>
      <c r="F857" s="9"/>
      <c r="G857" s="7"/>
      <c r="H857" s="36"/>
      <c r="I857" s="37"/>
      <c r="J857" s="6"/>
      <c r="K857" s="6"/>
      <c r="L857" s="6"/>
    </row>
    <row r="858" spans="2:12" ht="12.75">
      <c r="B858" s="6"/>
      <c r="C858" s="6"/>
      <c r="D858" s="8"/>
      <c r="E858" s="9"/>
      <c r="F858" s="9"/>
      <c r="G858" s="7"/>
      <c r="H858" s="36"/>
      <c r="I858" s="37"/>
      <c r="J858" s="6"/>
      <c r="K858" s="6"/>
      <c r="L858" s="6"/>
    </row>
    <row r="859" spans="2:12" ht="12.75">
      <c r="B859" s="6"/>
      <c r="C859" s="6"/>
      <c r="D859" s="8"/>
      <c r="E859" s="9"/>
      <c r="F859" s="9"/>
      <c r="G859" s="7"/>
      <c r="H859" s="36"/>
      <c r="I859" s="37"/>
      <c r="J859" s="6"/>
      <c r="K859" s="6"/>
      <c r="L859" s="6"/>
    </row>
    <row r="860" spans="2:12" ht="12.75">
      <c r="B860" s="6"/>
      <c r="C860" s="6"/>
      <c r="D860" s="8"/>
      <c r="E860" s="9"/>
      <c r="F860" s="9"/>
      <c r="G860" s="7"/>
      <c r="H860" s="36"/>
      <c r="I860" s="37"/>
      <c r="J860" s="6"/>
      <c r="K860" s="6"/>
      <c r="L860" s="6"/>
    </row>
    <row r="861" spans="2:12" ht="12.75">
      <c r="B861" s="6"/>
      <c r="C861" s="6"/>
      <c r="D861" s="8"/>
      <c r="E861" s="9"/>
      <c r="F861" s="9"/>
      <c r="G861" s="7"/>
      <c r="H861" s="36"/>
      <c r="I861" s="37"/>
      <c r="J861" s="6"/>
      <c r="K861" s="6"/>
      <c r="L861" s="6"/>
    </row>
    <row r="862" spans="2:12" ht="12.75">
      <c r="B862" s="6"/>
      <c r="C862" s="6"/>
      <c r="D862" s="8"/>
      <c r="E862" s="9"/>
      <c r="F862" s="9"/>
      <c r="G862" s="7"/>
      <c r="H862" s="36"/>
      <c r="I862" s="37"/>
      <c r="J862" s="6"/>
      <c r="K862" s="6"/>
      <c r="L862" s="6"/>
    </row>
    <row r="863" spans="2:12" ht="12.75">
      <c r="B863" s="6"/>
      <c r="C863" s="6"/>
      <c r="D863" s="8"/>
      <c r="E863" s="9"/>
      <c r="F863" s="9"/>
      <c r="G863" s="7"/>
      <c r="H863" s="36"/>
      <c r="I863" s="37"/>
      <c r="J863" s="6"/>
      <c r="K863" s="6"/>
      <c r="L863" s="6"/>
    </row>
    <row r="864" spans="2:12" ht="12.75">
      <c r="B864" s="6"/>
      <c r="C864" s="6"/>
      <c r="D864" s="8"/>
      <c r="E864" s="9"/>
      <c r="F864" s="9"/>
      <c r="G864" s="7"/>
      <c r="H864" s="36"/>
      <c r="I864" s="37"/>
      <c r="J864" s="6"/>
      <c r="K864" s="6"/>
      <c r="L864" s="6"/>
    </row>
    <row r="865" spans="2:12" ht="12.75">
      <c r="B865" s="6"/>
      <c r="C865" s="6"/>
      <c r="D865" s="8"/>
      <c r="E865" s="9"/>
      <c r="F865" s="9"/>
      <c r="G865" s="7"/>
      <c r="H865" s="36"/>
      <c r="I865" s="37"/>
      <c r="J865" s="6"/>
      <c r="K865" s="6"/>
      <c r="L865" s="6"/>
    </row>
    <row r="866" spans="2:12" ht="12.75">
      <c r="B866" s="6"/>
      <c r="C866" s="6"/>
      <c r="D866" s="8"/>
      <c r="E866" s="9"/>
      <c r="F866" s="9"/>
      <c r="G866" s="7"/>
      <c r="H866" s="36"/>
      <c r="I866" s="37"/>
      <c r="J866" s="6"/>
      <c r="K866" s="6"/>
      <c r="L866" s="6"/>
    </row>
    <row r="867" spans="2:12" ht="12.75">
      <c r="B867" s="6"/>
      <c r="C867" s="6"/>
      <c r="D867" s="8"/>
      <c r="E867" s="9"/>
      <c r="F867" s="9"/>
      <c r="G867" s="7"/>
      <c r="H867" s="36"/>
      <c r="I867" s="37"/>
      <c r="J867" s="6"/>
      <c r="K867" s="6"/>
      <c r="L867" s="6"/>
    </row>
    <row r="868" spans="2:12" ht="12.75">
      <c r="B868" s="6"/>
      <c r="C868" s="6"/>
      <c r="D868" s="8"/>
      <c r="E868" s="9"/>
      <c r="F868" s="9"/>
      <c r="G868" s="7"/>
      <c r="H868" s="36"/>
      <c r="I868" s="37"/>
      <c r="J868" s="6"/>
      <c r="K868" s="6"/>
      <c r="L868" s="6"/>
    </row>
    <row r="869" spans="2:12" ht="12.75">
      <c r="B869" s="6"/>
      <c r="C869" s="6"/>
      <c r="D869" s="8"/>
      <c r="E869" s="9"/>
      <c r="F869" s="9"/>
      <c r="G869" s="7"/>
      <c r="H869" s="36"/>
      <c r="I869" s="37"/>
      <c r="J869" s="6"/>
      <c r="K869" s="6"/>
      <c r="L869" s="6"/>
    </row>
    <row r="870" spans="2:12" ht="12.75">
      <c r="B870" s="6"/>
      <c r="C870" s="6"/>
      <c r="D870" s="8"/>
      <c r="E870" s="9"/>
      <c r="F870" s="9"/>
      <c r="G870" s="7"/>
      <c r="H870" s="36"/>
      <c r="I870" s="37"/>
      <c r="J870" s="6"/>
      <c r="K870" s="6"/>
      <c r="L870" s="6"/>
    </row>
    <row r="871" spans="2:12" ht="12.75">
      <c r="B871" s="6"/>
      <c r="C871" s="6"/>
      <c r="D871" s="8"/>
      <c r="E871" s="9"/>
      <c r="F871" s="9"/>
      <c r="G871" s="7"/>
      <c r="H871" s="36"/>
      <c r="I871" s="37"/>
      <c r="J871" s="6"/>
      <c r="K871" s="6"/>
      <c r="L871" s="6"/>
    </row>
    <row r="872" spans="2:12" ht="12.75">
      <c r="B872" s="6"/>
      <c r="C872" s="6"/>
      <c r="D872" s="8"/>
      <c r="E872" s="9"/>
      <c r="F872" s="9"/>
      <c r="G872" s="7"/>
      <c r="H872" s="36"/>
      <c r="I872" s="37"/>
      <c r="J872" s="6"/>
      <c r="K872" s="6"/>
      <c r="L872" s="6"/>
    </row>
    <row r="873" spans="2:12" ht="12.75">
      <c r="B873" s="6"/>
      <c r="C873" s="6"/>
      <c r="D873" s="8"/>
      <c r="E873" s="9"/>
      <c r="F873" s="9"/>
      <c r="G873" s="7"/>
      <c r="H873" s="36"/>
      <c r="I873" s="37"/>
      <c r="J873" s="6"/>
      <c r="K873" s="6"/>
      <c r="L873" s="6"/>
    </row>
    <row r="874" spans="2:12" ht="12.75">
      <c r="B874" s="6"/>
      <c r="C874" s="6"/>
      <c r="D874" s="8"/>
      <c r="E874" s="9"/>
      <c r="F874" s="9"/>
      <c r="G874" s="7"/>
      <c r="H874" s="36"/>
      <c r="I874" s="37"/>
      <c r="J874" s="6"/>
      <c r="K874" s="6"/>
      <c r="L874" s="6"/>
    </row>
    <row r="875" spans="2:12" ht="12.75">
      <c r="B875" s="6"/>
      <c r="C875" s="6"/>
      <c r="D875" s="8"/>
      <c r="E875" s="9"/>
      <c r="F875" s="9"/>
      <c r="G875" s="7"/>
      <c r="H875" s="36"/>
      <c r="I875" s="37"/>
      <c r="J875" s="6"/>
      <c r="K875" s="6"/>
      <c r="L875" s="6"/>
    </row>
    <row r="876" spans="2:12" ht="12.75">
      <c r="B876" s="6"/>
      <c r="C876" s="6"/>
      <c r="D876" s="8"/>
      <c r="E876" s="9"/>
      <c r="F876" s="9"/>
      <c r="G876" s="7"/>
      <c r="H876" s="36"/>
      <c r="I876" s="37"/>
      <c r="J876" s="6"/>
      <c r="K876" s="6"/>
      <c r="L876" s="6"/>
    </row>
    <row r="877" spans="2:12" ht="12.75">
      <c r="B877" s="6"/>
      <c r="C877" s="6"/>
      <c r="D877" s="8"/>
      <c r="E877" s="9"/>
      <c r="F877" s="9"/>
      <c r="G877" s="7"/>
      <c r="H877" s="36"/>
      <c r="I877" s="37"/>
      <c r="J877" s="6"/>
      <c r="K877" s="6"/>
      <c r="L877" s="6"/>
    </row>
    <row r="878" spans="2:12" ht="12.75">
      <c r="B878" s="6"/>
      <c r="C878" s="6"/>
      <c r="D878" s="8"/>
      <c r="E878" s="9"/>
      <c r="F878" s="9"/>
      <c r="G878" s="7"/>
      <c r="H878" s="36"/>
      <c r="I878" s="37"/>
      <c r="J878" s="6"/>
      <c r="K878" s="6"/>
      <c r="L878" s="6"/>
    </row>
    <row r="879" spans="2:12" ht="12.75">
      <c r="B879" s="6"/>
      <c r="C879" s="6"/>
      <c r="D879" s="8"/>
      <c r="E879" s="9"/>
      <c r="F879" s="9"/>
      <c r="G879" s="7"/>
      <c r="H879" s="36"/>
      <c r="I879" s="37"/>
      <c r="J879" s="6"/>
      <c r="K879" s="6"/>
      <c r="L879" s="6"/>
    </row>
    <row r="880" spans="2:12" ht="12.75">
      <c r="B880" s="6"/>
      <c r="C880" s="6"/>
      <c r="D880" s="8"/>
      <c r="E880" s="9"/>
      <c r="F880" s="9"/>
      <c r="G880" s="7"/>
      <c r="H880" s="36"/>
      <c r="I880" s="37"/>
      <c r="J880" s="6"/>
      <c r="K880" s="6"/>
      <c r="L880" s="6"/>
    </row>
    <row r="881" spans="2:12" ht="12.75">
      <c r="B881" s="6"/>
      <c r="C881" s="6"/>
      <c r="D881" s="8"/>
      <c r="E881" s="9"/>
      <c r="F881" s="9"/>
      <c r="G881" s="7"/>
      <c r="H881" s="36"/>
      <c r="I881" s="37"/>
      <c r="J881" s="6"/>
      <c r="K881" s="6"/>
      <c r="L881" s="6"/>
    </row>
    <row r="882" spans="2:12" ht="12.75">
      <c r="B882" s="6"/>
      <c r="C882" s="6"/>
      <c r="D882" s="8"/>
      <c r="E882" s="9"/>
      <c r="F882" s="9"/>
      <c r="G882" s="7"/>
      <c r="H882" s="36"/>
      <c r="I882" s="37"/>
      <c r="J882" s="6"/>
      <c r="K882" s="6"/>
      <c r="L882" s="6"/>
    </row>
    <row r="883" spans="2:12" ht="12.75">
      <c r="B883" s="6"/>
      <c r="C883" s="6"/>
      <c r="D883" s="8"/>
      <c r="E883" s="9"/>
      <c r="F883" s="9"/>
      <c r="G883" s="7"/>
      <c r="H883" s="36"/>
      <c r="I883" s="37"/>
      <c r="J883" s="6"/>
      <c r="K883" s="6"/>
      <c r="L883" s="6"/>
    </row>
    <row r="884" spans="2:12" ht="12.75">
      <c r="B884" s="6"/>
      <c r="C884" s="6"/>
      <c r="D884" s="8"/>
      <c r="E884" s="9"/>
      <c r="F884" s="9"/>
      <c r="G884" s="7"/>
      <c r="H884" s="36"/>
      <c r="I884" s="37"/>
      <c r="J884" s="6"/>
      <c r="K884" s="6"/>
      <c r="L884" s="6"/>
    </row>
    <row r="885" spans="2:12" ht="12.75">
      <c r="B885" s="6"/>
      <c r="C885" s="6"/>
      <c r="D885" s="8"/>
      <c r="E885" s="9"/>
      <c r="F885" s="9"/>
      <c r="G885" s="7"/>
      <c r="H885" s="36"/>
      <c r="I885" s="37"/>
      <c r="J885" s="6"/>
      <c r="K885" s="6"/>
      <c r="L885" s="6"/>
    </row>
  </sheetData>
  <mergeCells count="1">
    <mergeCell ref="D7:D8"/>
  </mergeCells>
  <phoneticPr fontId="4" type="noConversion"/>
  <dataValidations count="2">
    <dataValidation type="list" allowBlank="1" showErrorMessage="1" sqref="F21:F27 F11 F7:F9 F13:F16">
      <formula1>"세금계산서,카드결제,필요없음,?,누락"</formula1>
    </dataValidation>
    <dataValidation type="custom" allowBlank="1" showDropDown="1" sqref="G1:G885 I1:I885">
      <formula1>OR(NOT(ISERROR(DATEVALUE(G1))), AND(ISNUMBER(G1), LEFT(CELL("format", G1))="D"))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K790"/>
  <sheetViews>
    <sheetView workbookViewId="0">
      <pane ySplit="4" topLeftCell="A17" activePane="bottomLeft" state="frozen"/>
      <selection pane="bottomLeft" activeCell="M44" sqref="M44"/>
    </sheetView>
  </sheetViews>
  <sheetFormatPr defaultColWidth="12.5703125" defaultRowHeight="15.75" customHeight="1"/>
  <cols>
    <col min="1" max="1" width="4" customWidth="1"/>
    <col min="2" max="2" width="18.28515625" style="35" customWidth="1"/>
    <col min="3" max="3" width="18.7109375" style="35" customWidth="1"/>
    <col min="4" max="5" width="12.5703125" style="35"/>
    <col min="6" max="6" width="18.28515625" style="35" customWidth="1"/>
    <col min="7" max="7" width="7.28515625" style="35" customWidth="1"/>
    <col min="8" max="8" width="15.5703125" style="35" customWidth="1"/>
    <col min="9" max="9" width="15" style="35" customWidth="1"/>
    <col min="10" max="10" width="24.85546875" style="35" customWidth="1"/>
  </cols>
  <sheetData>
    <row r="1" spans="2:11" ht="12.75">
      <c r="B1" s="6"/>
      <c r="C1" s="6"/>
      <c r="D1" s="7"/>
      <c r="E1" s="7"/>
      <c r="F1" s="8"/>
      <c r="G1" s="9"/>
      <c r="H1" s="9"/>
      <c r="I1" s="10"/>
      <c r="J1" s="6"/>
      <c r="K1" s="4"/>
    </row>
    <row r="2" spans="2:11" ht="12.75">
      <c r="B2" s="6"/>
      <c r="C2" s="6"/>
      <c r="D2" s="7"/>
      <c r="E2" s="7"/>
      <c r="F2" s="8"/>
      <c r="G2" s="9"/>
      <c r="H2" s="9"/>
      <c r="I2" s="10"/>
      <c r="J2" s="6"/>
      <c r="K2" s="4"/>
    </row>
    <row r="3" spans="2:11" ht="15.75" customHeight="1">
      <c r="B3" s="11" t="s">
        <v>144</v>
      </c>
      <c r="C3" s="11"/>
      <c r="D3" s="7"/>
      <c r="E3" s="7"/>
      <c r="F3" s="8"/>
      <c r="G3" s="9"/>
      <c r="H3" s="9"/>
      <c r="I3" s="10"/>
      <c r="J3" s="6"/>
      <c r="K3" s="4"/>
    </row>
    <row r="4" spans="2:11" ht="12.75">
      <c r="B4" s="12" t="s">
        <v>111</v>
      </c>
      <c r="C4" s="12" t="s">
        <v>108</v>
      </c>
      <c r="D4" s="13" t="s">
        <v>145</v>
      </c>
      <c r="E4" s="13" t="s">
        <v>146</v>
      </c>
      <c r="F4" s="14" t="s">
        <v>147</v>
      </c>
      <c r="G4" s="14" t="s">
        <v>12</v>
      </c>
      <c r="H4" s="14" t="s">
        <v>113</v>
      </c>
      <c r="I4" s="15" t="s">
        <v>148</v>
      </c>
      <c r="J4" s="16" t="s">
        <v>109</v>
      </c>
      <c r="K4" s="4"/>
    </row>
    <row r="5" spans="2:11" ht="15.75" customHeight="1">
      <c r="B5" s="11" t="s">
        <v>149</v>
      </c>
      <c r="C5" s="11"/>
      <c r="D5" s="7"/>
      <c r="E5" s="7"/>
      <c r="F5" s="8"/>
      <c r="G5" s="9"/>
      <c r="H5" s="9"/>
      <c r="I5" s="10"/>
      <c r="J5" s="6"/>
      <c r="K5" s="4"/>
    </row>
    <row r="6" spans="2:11" ht="12.75">
      <c r="B6" s="12" t="s">
        <v>111</v>
      </c>
      <c r="C6" s="12" t="s">
        <v>108</v>
      </c>
      <c r="D6" s="17" t="s">
        <v>145</v>
      </c>
      <c r="E6" s="17" t="s">
        <v>146</v>
      </c>
      <c r="F6" s="18" t="s">
        <v>147</v>
      </c>
      <c r="G6" s="18" t="s">
        <v>12</v>
      </c>
      <c r="H6" s="18" t="s">
        <v>113</v>
      </c>
      <c r="I6" s="19" t="s">
        <v>148</v>
      </c>
      <c r="J6" s="12" t="s">
        <v>109</v>
      </c>
      <c r="K6" s="4"/>
    </row>
    <row r="7" spans="2:11" ht="12.75">
      <c r="B7" s="20" t="s">
        <v>186</v>
      </c>
      <c r="C7" s="20"/>
      <c r="D7" s="21"/>
      <c r="E7" s="21"/>
      <c r="F7" s="22">
        <f>SUM(F8:F25)</f>
        <v>2570129</v>
      </c>
      <c r="G7" s="23"/>
      <c r="H7" s="24"/>
      <c r="I7" s="25"/>
      <c r="J7" s="20"/>
      <c r="K7" s="4"/>
    </row>
    <row r="8" spans="2:11" ht="12.75">
      <c r="B8" s="26" t="s">
        <v>186</v>
      </c>
      <c r="C8" s="26" t="s">
        <v>150</v>
      </c>
      <c r="D8" s="27" t="s">
        <v>151</v>
      </c>
      <c r="E8" s="27" t="s">
        <v>152</v>
      </c>
      <c r="F8" s="28">
        <v>162782</v>
      </c>
      <c r="G8" s="28" t="b">
        <v>1</v>
      </c>
      <c r="H8" s="28" t="s">
        <v>123</v>
      </c>
      <c r="I8" s="29"/>
      <c r="J8" s="30"/>
      <c r="K8" s="4"/>
    </row>
    <row r="9" spans="2:11" ht="12.75">
      <c r="B9" s="26" t="s">
        <v>187</v>
      </c>
      <c r="C9" s="26" t="s">
        <v>150</v>
      </c>
      <c r="D9" s="27" t="s">
        <v>153</v>
      </c>
      <c r="E9" s="27" t="s">
        <v>152</v>
      </c>
      <c r="F9" s="28">
        <v>106037</v>
      </c>
      <c r="G9" s="28" t="b">
        <v>1</v>
      </c>
      <c r="H9" s="28" t="s">
        <v>123</v>
      </c>
      <c r="I9" s="29"/>
      <c r="J9" s="30"/>
      <c r="K9" s="4"/>
    </row>
    <row r="10" spans="2:11" ht="12.75">
      <c r="B10" s="26" t="s">
        <v>187</v>
      </c>
      <c r="C10" s="26" t="s">
        <v>154</v>
      </c>
      <c r="D10" s="30">
        <v>45755</v>
      </c>
      <c r="E10" s="27" t="s">
        <v>152</v>
      </c>
      <c r="F10" s="28">
        <f>87500*1.1</f>
        <v>96250.000000000015</v>
      </c>
      <c r="G10" s="28" t="b">
        <v>1</v>
      </c>
      <c r="H10" s="28" t="s">
        <v>123</v>
      </c>
      <c r="I10" s="29"/>
      <c r="J10" s="27"/>
      <c r="K10" s="4"/>
    </row>
    <row r="11" spans="2:11" ht="12.75">
      <c r="B11" s="26" t="s">
        <v>187</v>
      </c>
      <c r="C11" s="26" t="s">
        <v>155</v>
      </c>
      <c r="D11" s="30">
        <v>45761</v>
      </c>
      <c r="E11" s="27" t="s">
        <v>152</v>
      </c>
      <c r="F11" s="28">
        <f>135240*1.1</f>
        <v>148764</v>
      </c>
      <c r="G11" s="28" t="b">
        <v>1</v>
      </c>
      <c r="H11" s="28" t="s">
        <v>123</v>
      </c>
      <c r="I11" s="29"/>
      <c r="J11" s="27"/>
      <c r="K11" s="4"/>
    </row>
    <row r="12" spans="2:11" ht="12.75">
      <c r="B12" s="26" t="s">
        <v>187</v>
      </c>
      <c r="C12" s="27" t="s">
        <v>156</v>
      </c>
      <c r="D12" s="31">
        <v>45765</v>
      </c>
      <c r="E12" s="32">
        <v>45791</v>
      </c>
      <c r="F12" s="33">
        <v>71000</v>
      </c>
      <c r="G12" s="28" t="b">
        <v>1</v>
      </c>
      <c r="H12" s="28" t="s">
        <v>123</v>
      </c>
      <c r="I12" s="33"/>
      <c r="J12" s="27"/>
      <c r="K12" s="4"/>
    </row>
    <row r="13" spans="2:11" ht="12.75">
      <c r="B13" s="26" t="s">
        <v>187</v>
      </c>
      <c r="C13" s="26" t="s">
        <v>87</v>
      </c>
      <c r="D13" s="30">
        <v>45772</v>
      </c>
      <c r="E13" s="27" t="s">
        <v>152</v>
      </c>
      <c r="F13" s="28">
        <f>105000*1.1</f>
        <v>115500.00000000001</v>
      </c>
      <c r="G13" s="28" t="b">
        <v>1</v>
      </c>
      <c r="H13" s="28" t="s">
        <v>123</v>
      </c>
      <c r="I13" s="29"/>
      <c r="J13" s="27" t="s">
        <v>157</v>
      </c>
      <c r="K13" s="4"/>
    </row>
    <row r="14" spans="2:11" ht="12.75">
      <c r="B14" s="26" t="s">
        <v>187</v>
      </c>
      <c r="C14" s="26" t="s">
        <v>98</v>
      </c>
      <c r="D14" s="30">
        <v>45791</v>
      </c>
      <c r="E14" s="32">
        <v>45834</v>
      </c>
      <c r="F14" s="28">
        <v>270000</v>
      </c>
      <c r="G14" s="28" t="b">
        <v>1</v>
      </c>
      <c r="H14" s="28" t="s">
        <v>123</v>
      </c>
      <c r="I14" s="29"/>
      <c r="J14" s="27" t="s">
        <v>158</v>
      </c>
      <c r="K14" s="4"/>
    </row>
    <row r="15" spans="2:11" ht="12.75">
      <c r="B15" s="26" t="s">
        <v>187</v>
      </c>
      <c r="C15" s="26" t="s">
        <v>159</v>
      </c>
      <c r="D15" s="30">
        <v>45888</v>
      </c>
      <c r="E15" s="32">
        <v>46001</v>
      </c>
      <c r="F15" s="28">
        <v>14850</v>
      </c>
      <c r="G15" s="28" t="b">
        <v>1</v>
      </c>
      <c r="H15" s="28" t="s">
        <v>123</v>
      </c>
      <c r="I15" s="29"/>
      <c r="J15" s="27" t="s">
        <v>160</v>
      </c>
      <c r="K15" s="4"/>
    </row>
    <row r="16" spans="2:11" ht="12.75">
      <c r="B16" s="26" t="s">
        <v>187</v>
      </c>
      <c r="C16" s="26" t="s">
        <v>161</v>
      </c>
      <c r="D16" s="30">
        <v>45980</v>
      </c>
      <c r="E16" s="32">
        <v>46001</v>
      </c>
      <c r="F16" s="28">
        <v>279400</v>
      </c>
      <c r="G16" s="28" t="b">
        <v>1</v>
      </c>
      <c r="H16" s="28" t="s">
        <v>123</v>
      </c>
      <c r="I16" s="29"/>
      <c r="J16" s="27"/>
      <c r="K16" s="4"/>
    </row>
    <row r="17" spans="2:11" ht="12.75">
      <c r="B17" s="26" t="s">
        <v>187</v>
      </c>
      <c r="C17" s="26" t="s">
        <v>162</v>
      </c>
      <c r="D17" s="32">
        <v>46037</v>
      </c>
      <c r="E17" s="32">
        <v>46087</v>
      </c>
      <c r="F17" s="28">
        <v>38500</v>
      </c>
      <c r="G17" s="28" t="b">
        <v>1</v>
      </c>
      <c r="H17" s="28" t="s">
        <v>123</v>
      </c>
      <c r="I17" s="29"/>
      <c r="J17" s="27"/>
      <c r="K17" s="4"/>
    </row>
    <row r="18" spans="2:11" ht="12.75">
      <c r="B18" s="26" t="s">
        <v>187</v>
      </c>
      <c r="C18" s="26" t="s">
        <v>163</v>
      </c>
      <c r="D18" s="32">
        <v>46064</v>
      </c>
      <c r="E18" s="32">
        <v>46087</v>
      </c>
      <c r="F18" s="28">
        <v>154000</v>
      </c>
      <c r="G18" s="28" t="b">
        <v>1</v>
      </c>
      <c r="H18" s="28" t="s">
        <v>123</v>
      </c>
      <c r="I18" s="29"/>
      <c r="J18" s="27"/>
      <c r="K18" s="4"/>
    </row>
    <row r="19" spans="2:11" ht="12.75">
      <c r="B19" s="26" t="s">
        <v>187</v>
      </c>
      <c r="C19" s="26" t="s">
        <v>163</v>
      </c>
      <c r="D19" s="32">
        <v>46071</v>
      </c>
      <c r="E19" s="32">
        <v>46087</v>
      </c>
      <c r="F19" s="28">
        <v>115500</v>
      </c>
      <c r="G19" s="28" t="b">
        <v>1</v>
      </c>
      <c r="H19" s="28" t="s">
        <v>123</v>
      </c>
      <c r="I19" s="29"/>
      <c r="J19" s="27"/>
      <c r="K19" s="4"/>
    </row>
    <row r="20" spans="2:11" ht="12.75">
      <c r="B20" s="26" t="s">
        <v>187</v>
      </c>
      <c r="C20" s="26" t="s">
        <v>163</v>
      </c>
      <c r="D20" s="32">
        <v>46097</v>
      </c>
      <c r="E20" s="32">
        <v>46135</v>
      </c>
      <c r="F20" s="28">
        <f>231000*1.1</f>
        <v>254100.00000000003</v>
      </c>
      <c r="G20" s="28" t="b">
        <v>1</v>
      </c>
      <c r="H20" s="28" t="s">
        <v>123</v>
      </c>
      <c r="I20" s="29"/>
      <c r="J20" s="27" t="s">
        <v>164</v>
      </c>
      <c r="K20" s="4"/>
    </row>
    <row r="21" spans="2:11" ht="12.75">
      <c r="B21" s="26" t="s">
        <v>187</v>
      </c>
      <c r="C21" s="26" t="s">
        <v>163</v>
      </c>
      <c r="D21" s="32">
        <v>46104</v>
      </c>
      <c r="E21" s="32">
        <v>46135</v>
      </c>
      <c r="F21" s="28">
        <f>539000*1.1</f>
        <v>592900</v>
      </c>
      <c r="G21" s="28" t="b">
        <v>1</v>
      </c>
      <c r="H21" s="28" t="s">
        <v>123</v>
      </c>
      <c r="I21" s="29"/>
      <c r="J21" s="27" t="s">
        <v>165</v>
      </c>
      <c r="K21" s="4"/>
    </row>
    <row r="22" spans="2:11" ht="12.75">
      <c r="B22" s="26" t="s">
        <v>187</v>
      </c>
      <c r="C22" s="26" t="s">
        <v>139</v>
      </c>
      <c r="D22" s="32">
        <v>46118</v>
      </c>
      <c r="E22" s="32">
        <v>46135</v>
      </c>
      <c r="F22" s="28">
        <f>(20960+86400)*1.1</f>
        <v>118096.00000000001</v>
      </c>
      <c r="G22" s="28" t="b">
        <v>1</v>
      </c>
      <c r="H22" s="28" t="s">
        <v>123</v>
      </c>
      <c r="I22" s="29"/>
      <c r="J22" s="27"/>
      <c r="K22" s="4"/>
    </row>
    <row r="23" spans="2:11" ht="12.75">
      <c r="B23" s="26" t="s">
        <v>187</v>
      </c>
      <c r="C23" s="26" t="s">
        <v>140</v>
      </c>
      <c r="D23" s="32">
        <v>46119</v>
      </c>
      <c r="E23" s="32">
        <v>46135</v>
      </c>
      <c r="F23" s="28">
        <f>29500*1.1</f>
        <v>32450.000000000004</v>
      </c>
      <c r="G23" s="28" t="b">
        <v>1</v>
      </c>
      <c r="H23" s="28" t="s">
        <v>123</v>
      </c>
      <c r="I23" s="29"/>
      <c r="J23" s="27"/>
      <c r="K23" s="4"/>
    </row>
    <row r="24" spans="2:11" ht="12.75">
      <c r="B24" s="26" t="s">
        <v>187</v>
      </c>
      <c r="C24" s="26" t="s">
        <v>142</v>
      </c>
      <c r="D24" s="32">
        <v>46163</v>
      </c>
      <c r="E24" s="27"/>
      <c r="F24" s="28"/>
      <c r="G24" s="28" t="b">
        <v>0</v>
      </c>
      <c r="H24" s="28"/>
      <c r="I24" s="29"/>
      <c r="J24" s="27"/>
      <c r="K24" s="4"/>
    </row>
    <row r="25" spans="2:11" ht="12.75">
      <c r="B25" s="26" t="s">
        <v>187</v>
      </c>
      <c r="C25" s="26" t="s">
        <v>143</v>
      </c>
      <c r="D25" s="32">
        <v>46174</v>
      </c>
      <c r="E25" s="27"/>
      <c r="F25" s="28"/>
      <c r="G25" s="28" t="b">
        <v>0</v>
      </c>
      <c r="H25" s="28"/>
      <c r="I25" s="29"/>
      <c r="J25" s="27"/>
      <c r="K25" s="4"/>
    </row>
    <row r="26" spans="2:11" ht="12.75">
      <c r="B26" s="26"/>
      <c r="C26" s="26"/>
      <c r="D26" s="27"/>
      <c r="E26" s="27"/>
      <c r="F26" s="28"/>
      <c r="G26" s="28"/>
      <c r="H26" s="28"/>
      <c r="I26" s="29"/>
      <c r="J26" s="27"/>
      <c r="K26" s="4"/>
    </row>
    <row r="27" spans="2:11" ht="12.75">
      <c r="B27" s="20" t="s">
        <v>188</v>
      </c>
      <c r="C27" s="20"/>
      <c r="D27" s="21"/>
      <c r="E27" s="21"/>
      <c r="F27" s="22">
        <f>SUM(F28:F36)</f>
        <v>277000</v>
      </c>
      <c r="G27" s="23"/>
      <c r="H27" s="24"/>
      <c r="I27" s="25"/>
      <c r="J27" s="20"/>
      <c r="K27" s="4"/>
    </row>
    <row r="28" spans="2:11" ht="12.75">
      <c r="B28" s="26" t="s">
        <v>188</v>
      </c>
      <c r="C28" s="26" t="s">
        <v>166</v>
      </c>
      <c r="D28" s="27" t="s">
        <v>167</v>
      </c>
      <c r="E28" s="32" t="s">
        <v>152</v>
      </c>
      <c r="F28" s="28">
        <v>5000</v>
      </c>
      <c r="G28" s="28" t="b">
        <v>1</v>
      </c>
      <c r="H28" s="28"/>
      <c r="I28" s="29"/>
      <c r="J28" s="34"/>
      <c r="K28" s="4"/>
    </row>
    <row r="29" spans="2:11" ht="14.25">
      <c r="B29" s="26" t="s">
        <v>189</v>
      </c>
      <c r="C29" s="26" t="s">
        <v>190</v>
      </c>
      <c r="D29" s="30">
        <v>45607</v>
      </c>
      <c r="E29" s="27" t="s">
        <v>152</v>
      </c>
      <c r="F29" s="28">
        <v>50000</v>
      </c>
      <c r="G29" s="28" t="b">
        <v>1</v>
      </c>
      <c r="H29" s="28"/>
      <c r="I29" s="29"/>
      <c r="J29" s="34"/>
      <c r="K29" s="4"/>
    </row>
    <row r="30" spans="2:11" ht="14.25">
      <c r="B30" s="26" t="s">
        <v>191</v>
      </c>
      <c r="C30" s="26" t="s">
        <v>168</v>
      </c>
      <c r="D30" s="30">
        <v>45611</v>
      </c>
      <c r="E30" s="27" t="s">
        <v>152</v>
      </c>
      <c r="F30" s="28">
        <v>30000</v>
      </c>
      <c r="G30" s="28" t="b">
        <v>1</v>
      </c>
      <c r="H30" s="28"/>
      <c r="I30" s="29"/>
      <c r="J30" s="27" t="s">
        <v>169</v>
      </c>
      <c r="K30" s="4"/>
    </row>
    <row r="31" spans="2:11" ht="14.25">
      <c r="B31" s="26" t="s">
        <v>192</v>
      </c>
      <c r="C31" s="26" t="s">
        <v>170</v>
      </c>
      <c r="D31" s="30">
        <v>45624</v>
      </c>
      <c r="E31" s="27" t="s">
        <v>152</v>
      </c>
      <c r="F31" s="28">
        <v>50000</v>
      </c>
      <c r="G31" s="28" t="b">
        <v>1</v>
      </c>
      <c r="H31" s="28"/>
      <c r="I31" s="29"/>
      <c r="J31" s="27" t="s">
        <v>171</v>
      </c>
      <c r="K31" s="4"/>
    </row>
    <row r="32" spans="2:11" ht="14.25">
      <c r="B32" s="26" t="s">
        <v>193</v>
      </c>
      <c r="C32" s="26" t="s">
        <v>60</v>
      </c>
      <c r="D32" s="30">
        <v>45629</v>
      </c>
      <c r="E32" s="27" t="s">
        <v>152</v>
      </c>
      <c r="F32" s="28">
        <v>30000</v>
      </c>
      <c r="G32" s="28" t="b">
        <v>1</v>
      </c>
      <c r="H32" s="28"/>
      <c r="I32" s="29"/>
      <c r="J32" s="27" t="s">
        <v>169</v>
      </c>
      <c r="K32" s="4"/>
    </row>
    <row r="33" spans="2:11" ht="14.25">
      <c r="B33" s="26" t="s">
        <v>194</v>
      </c>
      <c r="C33" s="26" t="s">
        <v>64</v>
      </c>
      <c r="D33" s="30">
        <v>45639</v>
      </c>
      <c r="E33" s="27" t="s">
        <v>152</v>
      </c>
      <c r="F33" s="28">
        <v>2000</v>
      </c>
      <c r="G33" s="28" t="b">
        <v>1</v>
      </c>
      <c r="H33" s="28"/>
      <c r="I33" s="29"/>
      <c r="J33" s="27" t="s">
        <v>172</v>
      </c>
      <c r="K33" s="4"/>
    </row>
    <row r="34" spans="2:11" ht="14.25">
      <c r="B34" s="26" t="s">
        <v>195</v>
      </c>
      <c r="C34" s="26" t="s">
        <v>173</v>
      </c>
      <c r="D34" s="30">
        <v>45747</v>
      </c>
      <c r="E34" s="27" t="s">
        <v>152</v>
      </c>
      <c r="F34" s="28">
        <v>30000</v>
      </c>
      <c r="G34" s="28" t="b">
        <v>1</v>
      </c>
      <c r="H34" s="28"/>
      <c r="I34" s="29"/>
      <c r="J34" s="27"/>
      <c r="K34" s="4"/>
    </row>
    <row r="35" spans="2:11" ht="14.25">
      <c r="B35" s="26" t="s">
        <v>196</v>
      </c>
      <c r="C35" s="26" t="s">
        <v>174</v>
      </c>
      <c r="D35" s="30">
        <v>45772</v>
      </c>
      <c r="E35" s="27" t="s">
        <v>152</v>
      </c>
      <c r="F35" s="28">
        <v>30000</v>
      </c>
      <c r="G35" s="28" t="b">
        <v>1</v>
      </c>
      <c r="H35" s="28"/>
      <c r="I35" s="29"/>
      <c r="J35" s="27"/>
      <c r="K35" s="4"/>
    </row>
    <row r="36" spans="2:11" ht="14.25">
      <c r="B36" s="26" t="s">
        <v>197</v>
      </c>
      <c r="C36" s="26" t="s">
        <v>175</v>
      </c>
      <c r="D36" s="30">
        <v>45785</v>
      </c>
      <c r="E36" s="27" t="s">
        <v>152</v>
      </c>
      <c r="F36" s="28">
        <v>50000</v>
      </c>
      <c r="G36" s="28" t="b">
        <v>1</v>
      </c>
      <c r="H36" s="28"/>
      <c r="I36" s="29"/>
      <c r="J36" s="27"/>
      <c r="K36" s="4"/>
    </row>
    <row r="37" spans="2:11" ht="12.75">
      <c r="B37" s="26"/>
      <c r="C37" s="26"/>
      <c r="D37" s="30"/>
      <c r="E37" s="27"/>
      <c r="F37" s="28"/>
      <c r="G37" s="28"/>
      <c r="H37" s="28"/>
      <c r="I37" s="29"/>
      <c r="J37" s="27"/>
      <c r="K37" s="4"/>
    </row>
    <row r="38" spans="2:11" ht="12.75">
      <c r="B38" s="26"/>
      <c r="C38" s="26"/>
      <c r="D38" s="30"/>
      <c r="E38" s="27"/>
      <c r="F38" s="28"/>
      <c r="G38" s="28"/>
      <c r="H38" s="28"/>
      <c r="I38" s="29"/>
      <c r="J38" s="27"/>
      <c r="K38" s="4"/>
    </row>
    <row r="39" spans="2:11" ht="12.75">
      <c r="B39" s="20" t="s">
        <v>198</v>
      </c>
      <c r="C39" s="20"/>
      <c r="D39" s="21"/>
      <c r="E39" s="21"/>
      <c r="F39" s="22">
        <f>SUM(F40:F50)</f>
        <v>1815000</v>
      </c>
      <c r="G39" s="23"/>
      <c r="H39" s="24"/>
      <c r="I39" s="25"/>
      <c r="J39" s="20"/>
      <c r="K39" s="4"/>
    </row>
    <row r="40" spans="2:11" ht="12.75">
      <c r="B40" s="26" t="s">
        <v>199</v>
      </c>
      <c r="C40" s="26" t="s">
        <v>200</v>
      </c>
      <c r="D40" s="27" t="s">
        <v>201</v>
      </c>
      <c r="E40" s="27" t="s">
        <v>152</v>
      </c>
      <c r="F40" s="28">
        <v>165000</v>
      </c>
      <c r="G40" s="28" t="b">
        <v>1</v>
      </c>
      <c r="H40" s="28" t="s">
        <v>123</v>
      </c>
      <c r="I40" s="29"/>
      <c r="J40" s="27"/>
      <c r="K40" s="4"/>
    </row>
    <row r="41" spans="2:11" ht="12.75">
      <c r="B41" s="26" t="s">
        <v>199</v>
      </c>
      <c r="C41" s="26" t="s">
        <v>200</v>
      </c>
      <c r="D41" s="27" t="s">
        <v>202</v>
      </c>
      <c r="E41" s="27" t="s">
        <v>152</v>
      </c>
      <c r="F41" s="28">
        <v>165000</v>
      </c>
      <c r="G41" s="28" t="b">
        <v>1</v>
      </c>
      <c r="H41" s="28" t="s">
        <v>123</v>
      </c>
      <c r="I41" s="29"/>
      <c r="J41" s="27"/>
      <c r="K41" s="4"/>
    </row>
    <row r="42" spans="2:11" ht="12.75">
      <c r="B42" s="26" t="s">
        <v>199</v>
      </c>
      <c r="C42" s="26" t="s">
        <v>200</v>
      </c>
      <c r="D42" s="27" t="s">
        <v>176</v>
      </c>
      <c r="E42" s="27" t="s">
        <v>152</v>
      </c>
      <c r="F42" s="28">
        <v>165000</v>
      </c>
      <c r="G42" s="28" t="b">
        <v>1</v>
      </c>
      <c r="H42" s="28" t="s">
        <v>123</v>
      </c>
      <c r="I42" s="29"/>
      <c r="J42" s="27"/>
      <c r="K42" s="4"/>
    </row>
    <row r="43" spans="2:11" ht="12.75">
      <c r="B43" s="26" t="s">
        <v>199</v>
      </c>
      <c r="C43" s="26" t="s">
        <v>200</v>
      </c>
      <c r="D43" s="27" t="s">
        <v>177</v>
      </c>
      <c r="E43" s="27" t="s">
        <v>152</v>
      </c>
      <c r="F43" s="28">
        <v>165000</v>
      </c>
      <c r="G43" s="28" t="b">
        <v>1</v>
      </c>
      <c r="H43" s="28" t="s">
        <v>123</v>
      </c>
      <c r="I43" s="29"/>
      <c r="J43" s="27" t="s">
        <v>178</v>
      </c>
      <c r="K43" s="4"/>
    </row>
    <row r="44" spans="2:11" ht="12.75">
      <c r="B44" s="26" t="s">
        <v>203</v>
      </c>
      <c r="C44" s="26" t="s">
        <v>204</v>
      </c>
      <c r="D44" s="27" t="s">
        <v>179</v>
      </c>
      <c r="E44" s="27" t="s">
        <v>152</v>
      </c>
      <c r="F44" s="28">
        <v>165000</v>
      </c>
      <c r="G44" s="28" t="b">
        <v>1</v>
      </c>
      <c r="H44" s="28" t="s">
        <v>123</v>
      </c>
      <c r="I44" s="29"/>
      <c r="J44" s="27" t="s">
        <v>178</v>
      </c>
      <c r="K44" s="4"/>
    </row>
    <row r="45" spans="2:11" ht="12.75">
      <c r="B45" s="26" t="s">
        <v>203</v>
      </c>
      <c r="C45" s="26" t="s">
        <v>204</v>
      </c>
      <c r="D45" s="27" t="s">
        <v>180</v>
      </c>
      <c r="E45" s="27" t="s">
        <v>152</v>
      </c>
      <c r="F45" s="28">
        <v>165000</v>
      </c>
      <c r="G45" s="28" t="b">
        <v>1</v>
      </c>
      <c r="H45" s="28" t="s">
        <v>123</v>
      </c>
      <c r="I45" s="29"/>
      <c r="J45" s="27" t="s">
        <v>178</v>
      </c>
      <c r="K45" s="4"/>
    </row>
    <row r="46" spans="2:11" ht="12.75">
      <c r="B46" s="26" t="s">
        <v>203</v>
      </c>
      <c r="C46" s="26" t="s">
        <v>204</v>
      </c>
      <c r="D46" s="27" t="s">
        <v>181</v>
      </c>
      <c r="E46" s="27" t="s">
        <v>152</v>
      </c>
      <c r="F46" s="28">
        <v>165000</v>
      </c>
      <c r="G46" s="28" t="b">
        <v>1</v>
      </c>
      <c r="H46" s="28" t="s">
        <v>123</v>
      </c>
      <c r="I46" s="29"/>
      <c r="J46" s="27"/>
      <c r="K46" s="4"/>
    </row>
    <row r="47" spans="2:11" ht="12.75">
      <c r="B47" s="26" t="s">
        <v>199</v>
      </c>
      <c r="C47" s="26" t="s">
        <v>200</v>
      </c>
      <c r="D47" s="27" t="s">
        <v>182</v>
      </c>
      <c r="E47" s="27" t="s">
        <v>152</v>
      </c>
      <c r="F47" s="28">
        <v>165000</v>
      </c>
      <c r="G47" s="28" t="b">
        <v>1</v>
      </c>
      <c r="H47" s="28" t="s">
        <v>123</v>
      </c>
      <c r="I47" s="29"/>
      <c r="J47" s="27"/>
      <c r="K47" s="4"/>
    </row>
    <row r="48" spans="2:11" ht="12.75">
      <c r="B48" s="26" t="s">
        <v>199</v>
      </c>
      <c r="C48" s="26" t="s">
        <v>200</v>
      </c>
      <c r="D48" s="27" t="s">
        <v>183</v>
      </c>
      <c r="E48" s="27" t="s">
        <v>152</v>
      </c>
      <c r="F48" s="28">
        <v>165000</v>
      </c>
      <c r="G48" s="28" t="b">
        <v>1</v>
      </c>
      <c r="H48" s="28" t="s">
        <v>123</v>
      </c>
      <c r="I48" s="29"/>
      <c r="J48" s="27"/>
      <c r="K48" s="4"/>
    </row>
    <row r="49" spans="2:11" ht="12.75">
      <c r="B49" s="26" t="s">
        <v>199</v>
      </c>
      <c r="C49" s="26" t="s">
        <v>200</v>
      </c>
      <c r="D49" s="27" t="s">
        <v>184</v>
      </c>
      <c r="E49" s="27" t="s">
        <v>152</v>
      </c>
      <c r="F49" s="28">
        <v>165000</v>
      </c>
      <c r="G49" s="28" t="b">
        <v>1</v>
      </c>
      <c r="H49" s="28" t="s">
        <v>123</v>
      </c>
      <c r="I49" s="29"/>
      <c r="J49" s="27"/>
      <c r="K49" s="4"/>
    </row>
    <row r="50" spans="2:11" ht="12.75">
      <c r="B50" s="26" t="s">
        <v>199</v>
      </c>
      <c r="C50" s="26" t="s">
        <v>200</v>
      </c>
      <c r="D50" s="27" t="s">
        <v>185</v>
      </c>
      <c r="E50" s="27" t="s">
        <v>152</v>
      </c>
      <c r="F50" s="28">
        <v>165000</v>
      </c>
      <c r="G50" s="28" t="b">
        <v>1</v>
      </c>
      <c r="H50" s="28" t="s">
        <v>123</v>
      </c>
      <c r="I50" s="29"/>
      <c r="J50" s="27"/>
      <c r="K50" s="4"/>
    </row>
    <row r="51" spans="2:11" ht="12.75">
      <c r="B51" s="26"/>
      <c r="C51" s="26"/>
      <c r="D51" s="27"/>
      <c r="E51" s="27"/>
      <c r="F51" s="28"/>
      <c r="G51" s="28"/>
      <c r="H51" s="28"/>
      <c r="I51" s="29"/>
      <c r="J51" s="27"/>
      <c r="K51" s="4"/>
    </row>
    <row r="52" spans="2:11" ht="12.75">
      <c r="B52" s="26"/>
      <c r="C52" s="26"/>
      <c r="D52" s="27"/>
      <c r="E52" s="27"/>
      <c r="F52" s="28"/>
      <c r="G52" s="28"/>
      <c r="H52" s="28"/>
      <c r="I52" s="29"/>
      <c r="J52" s="27"/>
      <c r="K52" s="4"/>
    </row>
    <row r="53" spans="2:11" ht="12.75">
      <c r="B53" s="6"/>
      <c r="C53" s="6"/>
      <c r="D53" s="7"/>
      <c r="E53" s="7"/>
      <c r="F53" s="8"/>
      <c r="G53" s="9"/>
      <c r="H53" s="9"/>
      <c r="I53" s="10"/>
      <c r="J53" s="6"/>
      <c r="K53" s="4"/>
    </row>
    <row r="54" spans="2:11" ht="12.75">
      <c r="B54" s="6"/>
      <c r="C54" s="6"/>
      <c r="D54" s="7"/>
      <c r="E54" s="7"/>
      <c r="F54" s="8"/>
      <c r="G54" s="9"/>
      <c r="H54" s="9"/>
      <c r="I54" s="10"/>
      <c r="J54" s="6"/>
      <c r="K54" s="4"/>
    </row>
    <row r="55" spans="2:11" ht="12.75">
      <c r="B55" s="6"/>
      <c r="C55" s="6"/>
      <c r="D55" s="7"/>
      <c r="E55" s="7"/>
      <c r="F55" s="8"/>
      <c r="G55" s="9"/>
      <c r="H55" s="9"/>
      <c r="I55" s="10"/>
      <c r="J55" s="6"/>
      <c r="K55" s="4"/>
    </row>
    <row r="56" spans="2:11" ht="12.75">
      <c r="B56" s="6"/>
      <c r="C56" s="6"/>
      <c r="D56" s="7"/>
      <c r="E56" s="7"/>
      <c r="F56" s="8"/>
      <c r="G56" s="9"/>
      <c r="H56" s="9"/>
      <c r="I56" s="10"/>
      <c r="J56" s="6"/>
      <c r="K56" s="4"/>
    </row>
    <row r="57" spans="2:11" ht="12.75">
      <c r="B57" s="6"/>
      <c r="C57" s="6"/>
      <c r="D57" s="7"/>
      <c r="E57" s="7"/>
      <c r="F57" s="8"/>
      <c r="G57" s="9"/>
      <c r="H57" s="9"/>
      <c r="I57" s="10"/>
      <c r="J57" s="6"/>
      <c r="K57" s="4"/>
    </row>
    <row r="58" spans="2:11" ht="12.75">
      <c r="B58" s="6"/>
      <c r="C58" s="6"/>
      <c r="D58" s="7"/>
      <c r="E58" s="7"/>
      <c r="F58" s="8"/>
      <c r="G58" s="9"/>
      <c r="H58" s="9"/>
      <c r="I58" s="10"/>
      <c r="J58" s="6"/>
      <c r="K58" s="4"/>
    </row>
    <row r="59" spans="2:11" ht="12.75">
      <c r="B59" s="6"/>
      <c r="C59" s="6"/>
      <c r="D59" s="7"/>
      <c r="E59" s="7"/>
      <c r="F59" s="8"/>
      <c r="G59" s="9"/>
      <c r="H59" s="9"/>
      <c r="I59" s="10"/>
      <c r="J59" s="6"/>
      <c r="K59" s="4"/>
    </row>
    <row r="60" spans="2:11" ht="12.75">
      <c r="B60" s="6"/>
      <c r="C60" s="6"/>
      <c r="D60" s="7"/>
      <c r="E60" s="7"/>
      <c r="F60" s="8"/>
      <c r="G60" s="9"/>
      <c r="H60" s="9"/>
      <c r="I60" s="10"/>
      <c r="J60" s="6"/>
      <c r="K60" s="4"/>
    </row>
    <row r="61" spans="2:11" ht="12.75">
      <c r="B61" s="6"/>
      <c r="C61" s="6"/>
      <c r="D61" s="7"/>
      <c r="E61" s="7"/>
      <c r="F61" s="8"/>
      <c r="G61" s="9"/>
      <c r="H61" s="9"/>
      <c r="I61" s="10"/>
      <c r="J61" s="6"/>
      <c r="K61" s="4"/>
    </row>
    <row r="62" spans="2:11" ht="12.75">
      <c r="B62" s="6"/>
      <c r="C62" s="6"/>
      <c r="D62" s="7"/>
      <c r="E62" s="7"/>
      <c r="F62" s="8"/>
      <c r="G62" s="9"/>
      <c r="H62" s="9"/>
      <c r="I62" s="10"/>
      <c r="J62" s="6"/>
      <c r="K62" s="4"/>
    </row>
    <row r="63" spans="2:11" ht="12.75">
      <c r="B63" s="6"/>
      <c r="C63" s="6"/>
      <c r="D63" s="7"/>
      <c r="E63" s="7"/>
      <c r="F63" s="8"/>
      <c r="G63" s="9"/>
      <c r="H63" s="9"/>
      <c r="I63" s="10"/>
      <c r="J63" s="6"/>
      <c r="K63" s="4"/>
    </row>
    <row r="64" spans="2:11" ht="12.75">
      <c r="B64" s="6"/>
      <c r="C64" s="6"/>
      <c r="D64" s="7"/>
      <c r="E64" s="7"/>
      <c r="F64" s="8"/>
      <c r="G64" s="9"/>
      <c r="H64" s="9"/>
      <c r="I64" s="10"/>
      <c r="J64" s="6"/>
      <c r="K64" s="4"/>
    </row>
    <row r="65" spans="2:11" ht="12.75">
      <c r="B65" s="6"/>
      <c r="C65" s="6"/>
      <c r="D65" s="7"/>
      <c r="E65" s="7"/>
      <c r="F65" s="8"/>
      <c r="G65" s="9"/>
      <c r="H65" s="9"/>
      <c r="I65" s="10"/>
      <c r="J65" s="6"/>
      <c r="K65" s="4"/>
    </row>
    <row r="66" spans="2:11" ht="12.75">
      <c r="B66" s="6"/>
      <c r="C66" s="6"/>
      <c r="D66" s="7"/>
      <c r="E66" s="7"/>
      <c r="F66" s="8"/>
      <c r="G66" s="9"/>
      <c r="H66" s="9"/>
      <c r="I66" s="10"/>
      <c r="J66" s="6"/>
      <c r="K66" s="4"/>
    </row>
    <row r="67" spans="2:11" ht="12.75">
      <c r="B67" s="6"/>
      <c r="C67" s="6"/>
      <c r="D67" s="7"/>
      <c r="E67" s="7"/>
      <c r="F67" s="8"/>
      <c r="G67" s="9"/>
      <c r="H67" s="9"/>
      <c r="I67" s="10"/>
      <c r="J67" s="6"/>
      <c r="K67" s="4"/>
    </row>
    <row r="68" spans="2:11" ht="12.75">
      <c r="B68" s="6"/>
      <c r="C68" s="6"/>
      <c r="D68" s="7"/>
      <c r="E68" s="7"/>
      <c r="F68" s="8"/>
      <c r="G68" s="9"/>
      <c r="H68" s="9"/>
      <c r="I68" s="10"/>
      <c r="J68" s="6"/>
      <c r="K68" s="4"/>
    </row>
    <row r="69" spans="2:11" ht="12.75">
      <c r="B69" s="6"/>
      <c r="C69" s="6"/>
      <c r="D69" s="7"/>
      <c r="E69" s="7"/>
      <c r="F69" s="8"/>
      <c r="G69" s="9"/>
      <c r="H69" s="9"/>
      <c r="I69" s="10"/>
      <c r="J69" s="6"/>
      <c r="K69" s="4"/>
    </row>
    <row r="70" spans="2:11" ht="12.75">
      <c r="B70" s="6"/>
      <c r="C70" s="6"/>
      <c r="D70" s="7"/>
      <c r="E70" s="7"/>
      <c r="F70" s="8"/>
      <c r="G70" s="9"/>
      <c r="H70" s="9"/>
      <c r="I70" s="10"/>
      <c r="J70" s="6"/>
      <c r="K70" s="4"/>
    </row>
    <row r="71" spans="2:11" ht="12.75">
      <c r="B71" s="6"/>
      <c r="C71" s="6"/>
      <c r="D71" s="7"/>
      <c r="E71" s="7"/>
      <c r="F71" s="8"/>
      <c r="G71" s="9"/>
      <c r="H71" s="9"/>
      <c r="I71" s="10"/>
      <c r="J71" s="6"/>
      <c r="K71" s="4"/>
    </row>
    <row r="72" spans="2:11" ht="12.75">
      <c r="B72" s="6"/>
      <c r="C72" s="6"/>
      <c r="D72" s="7"/>
      <c r="E72" s="7"/>
      <c r="F72" s="8"/>
      <c r="G72" s="9"/>
      <c r="H72" s="9"/>
      <c r="I72" s="10"/>
      <c r="J72" s="6"/>
      <c r="K72" s="4"/>
    </row>
    <row r="73" spans="2:11" ht="12.75">
      <c r="B73" s="6"/>
      <c r="C73" s="6"/>
      <c r="D73" s="7"/>
      <c r="E73" s="7"/>
      <c r="F73" s="8"/>
      <c r="G73" s="9"/>
      <c r="H73" s="9"/>
      <c r="I73" s="10"/>
      <c r="J73" s="6"/>
      <c r="K73" s="4"/>
    </row>
    <row r="74" spans="2:11" ht="12.75">
      <c r="B74" s="6"/>
      <c r="C74" s="6"/>
      <c r="D74" s="7"/>
      <c r="E74" s="7"/>
      <c r="F74" s="8"/>
      <c r="G74" s="9"/>
      <c r="H74" s="9"/>
      <c r="I74" s="10"/>
      <c r="J74" s="6"/>
      <c r="K74" s="4"/>
    </row>
    <row r="75" spans="2:11" ht="12.75">
      <c r="B75" s="6"/>
      <c r="C75" s="6"/>
      <c r="D75" s="7"/>
      <c r="E75" s="7"/>
      <c r="F75" s="8"/>
      <c r="G75" s="9"/>
      <c r="H75" s="9"/>
      <c r="I75" s="10"/>
      <c r="J75" s="6"/>
      <c r="K75" s="4"/>
    </row>
    <row r="76" spans="2:11" ht="12.75">
      <c r="B76" s="6"/>
      <c r="C76" s="6"/>
      <c r="D76" s="7"/>
      <c r="E76" s="7"/>
      <c r="F76" s="8"/>
      <c r="G76" s="9"/>
      <c r="H76" s="9"/>
      <c r="I76" s="10"/>
      <c r="J76" s="6"/>
      <c r="K76" s="4"/>
    </row>
    <row r="77" spans="2:11" ht="12.75">
      <c r="B77" s="6"/>
      <c r="C77" s="6"/>
      <c r="D77" s="7"/>
      <c r="E77" s="7"/>
      <c r="F77" s="8"/>
      <c r="G77" s="9"/>
      <c r="H77" s="9"/>
      <c r="I77" s="10"/>
      <c r="J77" s="6"/>
      <c r="K77" s="4"/>
    </row>
    <row r="78" spans="2:11" ht="12.75">
      <c r="B78" s="6"/>
      <c r="C78" s="6"/>
      <c r="D78" s="7"/>
      <c r="E78" s="7"/>
      <c r="F78" s="8"/>
      <c r="G78" s="9"/>
      <c r="H78" s="9"/>
      <c r="I78" s="10"/>
      <c r="J78" s="6"/>
      <c r="K78" s="4"/>
    </row>
    <row r="79" spans="2:11" ht="12.75">
      <c r="B79" s="6"/>
      <c r="C79" s="6"/>
      <c r="D79" s="7"/>
      <c r="E79" s="7"/>
      <c r="F79" s="8"/>
      <c r="G79" s="9"/>
      <c r="H79" s="9"/>
      <c r="I79" s="10"/>
      <c r="J79" s="6"/>
      <c r="K79" s="4"/>
    </row>
    <row r="80" spans="2:11" ht="12.75">
      <c r="B80" s="6"/>
      <c r="C80" s="6"/>
      <c r="D80" s="7"/>
      <c r="E80" s="7"/>
      <c r="F80" s="8"/>
      <c r="G80" s="9"/>
      <c r="H80" s="9"/>
      <c r="I80" s="10"/>
      <c r="J80" s="6"/>
      <c r="K80" s="4"/>
    </row>
    <row r="81" spans="2:11" ht="12.75">
      <c r="B81" s="6"/>
      <c r="C81" s="6"/>
      <c r="D81" s="7"/>
      <c r="E81" s="7"/>
      <c r="F81" s="8"/>
      <c r="G81" s="9"/>
      <c r="H81" s="9"/>
      <c r="I81" s="10"/>
      <c r="J81" s="6"/>
      <c r="K81" s="4"/>
    </row>
    <row r="82" spans="2:11" ht="12.75">
      <c r="B82" s="6"/>
      <c r="C82" s="6"/>
      <c r="D82" s="7"/>
      <c r="E82" s="7"/>
      <c r="F82" s="8"/>
      <c r="G82" s="9"/>
      <c r="H82" s="9"/>
      <c r="I82" s="10"/>
      <c r="J82" s="6"/>
      <c r="K82" s="4"/>
    </row>
    <row r="83" spans="2:11" ht="12.75">
      <c r="B83" s="6"/>
      <c r="C83" s="6"/>
      <c r="D83" s="7"/>
      <c r="E83" s="7"/>
      <c r="F83" s="8"/>
      <c r="G83" s="9"/>
      <c r="H83" s="9"/>
      <c r="I83" s="10"/>
      <c r="J83" s="6"/>
      <c r="K83" s="4"/>
    </row>
    <row r="84" spans="2:11" ht="12.75">
      <c r="B84" s="6"/>
      <c r="C84" s="6"/>
      <c r="D84" s="7"/>
      <c r="E84" s="7"/>
      <c r="F84" s="8"/>
      <c r="G84" s="9"/>
      <c r="H84" s="9"/>
      <c r="I84" s="10"/>
      <c r="J84" s="6"/>
      <c r="K84" s="4"/>
    </row>
    <row r="85" spans="2:11" ht="12.75">
      <c r="B85" s="6"/>
      <c r="C85" s="6"/>
      <c r="D85" s="7"/>
      <c r="E85" s="7"/>
      <c r="F85" s="8"/>
      <c r="G85" s="9"/>
      <c r="H85" s="9"/>
      <c r="I85" s="10"/>
      <c r="J85" s="6"/>
      <c r="K85" s="4"/>
    </row>
    <row r="86" spans="2:11" ht="12.75">
      <c r="B86" s="6"/>
      <c r="C86" s="6"/>
      <c r="D86" s="7"/>
      <c r="E86" s="7"/>
      <c r="F86" s="8"/>
      <c r="G86" s="9"/>
      <c r="H86" s="9"/>
      <c r="I86" s="10"/>
      <c r="J86" s="6"/>
      <c r="K86" s="4"/>
    </row>
    <row r="87" spans="2:11" ht="12.75">
      <c r="B87" s="6"/>
      <c r="C87" s="6"/>
      <c r="D87" s="7"/>
      <c r="E87" s="7"/>
      <c r="F87" s="8"/>
      <c r="G87" s="9"/>
      <c r="H87" s="9"/>
      <c r="I87" s="10"/>
      <c r="J87" s="6"/>
      <c r="K87" s="4"/>
    </row>
    <row r="88" spans="2:11" ht="12.75">
      <c r="B88" s="6"/>
      <c r="C88" s="6"/>
      <c r="D88" s="7"/>
      <c r="E88" s="7"/>
      <c r="F88" s="8"/>
      <c r="G88" s="9"/>
      <c r="H88" s="9"/>
      <c r="I88" s="10"/>
      <c r="J88" s="6"/>
      <c r="K88" s="4"/>
    </row>
    <row r="89" spans="2:11" ht="12.75">
      <c r="B89" s="6"/>
      <c r="C89" s="6"/>
      <c r="D89" s="7"/>
      <c r="E89" s="7"/>
      <c r="F89" s="8"/>
      <c r="G89" s="9"/>
      <c r="H89" s="9"/>
      <c r="I89" s="10"/>
      <c r="J89" s="6"/>
      <c r="K89" s="4"/>
    </row>
    <row r="90" spans="2:11" ht="12.75">
      <c r="B90" s="6"/>
      <c r="C90" s="6"/>
      <c r="D90" s="7"/>
      <c r="E90" s="7"/>
      <c r="F90" s="8"/>
      <c r="G90" s="9"/>
      <c r="H90" s="9"/>
      <c r="I90" s="10"/>
      <c r="J90" s="6"/>
      <c r="K90" s="4"/>
    </row>
    <row r="91" spans="2:11" ht="12.75">
      <c r="B91" s="6"/>
      <c r="C91" s="6"/>
      <c r="D91" s="7"/>
      <c r="E91" s="7"/>
      <c r="F91" s="8"/>
      <c r="G91" s="9"/>
      <c r="H91" s="9"/>
      <c r="I91" s="10"/>
      <c r="J91" s="6"/>
      <c r="K91" s="4"/>
    </row>
    <row r="92" spans="2:11" ht="12.75">
      <c r="B92" s="6"/>
      <c r="C92" s="6"/>
      <c r="D92" s="7"/>
      <c r="E92" s="7"/>
      <c r="F92" s="8"/>
      <c r="G92" s="9"/>
      <c r="H92" s="9"/>
      <c r="I92" s="10"/>
      <c r="J92" s="6"/>
      <c r="K92" s="4"/>
    </row>
    <row r="93" spans="2:11" ht="12.75">
      <c r="B93" s="6"/>
      <c r="C93" s="6"/>
      <c r="D93" s="7"/>
      <c r="E93" s="7"/>
      <c r="F93" s="8"/>
      <c r="G93" s="9"/>
      <c r="H93" s="9"/>
      <c r="I93" s="10"/>
      <c r="J93" s="6"/>
      <c r="K93" s="4"/>
    </row>
    <row r="94" spans="2:11" ht="12.75">
      <c r="B94" s="6"/>
      <c r="C94" s="6"/>
      <c r="D94" s="7"/>
      <c r="E94" s="7"/>
      <c r="F94" s="8"/>
      <c r="G94" s="9"/>
      <c r="H94" s="9"/>
      <c r="I94" s="10"/>
      <c r="J94" s="6"/>
      <c r="K94" s="4"/>
    </row>
    <row r="95" spans="2:11" ht="12.75">
      <c r="B95" s="6"/>
      <c r="C95" s="6"/>
      <c r="D95" s="7"/>
      <c r="E95" s="7"/>
      <c r="F95" s="8"/>
      <c r="G95" s="9"/>
      <c r="H95" s="9"/>
      <c r="I95" s="10"/>
      <c r="J95" s="6"/>
      <c r="K95" s="4"/>
    </row>
    <row r="96" spans="2:11" ht="12.75">
      <c r="B96" s="6"/>
      <c r="C96" s="6"/>
      <c r="D96" s="7"/>
      <c r="E96" s="7"/>
      <c r="F96" s="8"/>
      <c r="G96" s="9"/>
      <c r="H96" s="9"/>
      <c r="I96" s="10"/>
      <c r="J96" s="6"/>
      <c r="K96" s="4"/>
    </row>
    <row r="97" spans="2:11" ht="12.75">
      <c r="B97" s="6"/>
      <c r="C97" s="6"/>
      <c r="D97" s="7"/>
      <c r="E97" s="7"/>
      <c r="F97" s="8"/>
      <c r="G97" s="9"/>
      <c r="H97" s="9"/>
      <c r="I97" s="10"/>
      <c r="J97" s="6"/>
      <c r="K97" s="4"/>
    </row>
    <row r="98" spans="2:11" ht="12.75">
      <c r="B98" s="6"/>
      <c r="C98" s="6"/>
      <c r="D98" s="7"/>
      <c r="E98" s="7"/>
      <c r="F98" s="8"/>
      <c r="G98" s="9"/>
      <c r="H98" s="9"/>
      <c r="I98" s="10"/>
      <c r="J98" s="6"/>
      <c r="K98" s="4"/>
    </row>
    <row r="99" spans="2:11" ht="12.75">
      <c r="B99" s="6"/>
      <c r="C99" s="6"/>
      <c r="D99" s="7"/>
      <c r="E99" s="7"/>
      <c r="F99" s="8"/>
      <c r="G99" s="9"/>
      <c r="H99" s="9"/>
      <c r="I99" s="10"/>
      <c r="J99" s="6"/>
      <c r="K99" s="4"/>
    </row>
    <row r="100" spans="2:11" ht="12.75">
      <c r="B100" s="6"/>
      <c r="C100" s="6"/>
      <c r="D100" s="7"/>
      <c r="E100" s="7"/>
      <c r="F100" s="8"/>
      <c r="G100" s="9"/>
      <c r="H100" s="9"/>
      <c r="I100" s="10"/>
      <c r="J100" s="6"/>
      <c r="K100" s="4"/>
    </row>
    <row r="101" spans="2:11" ht="12.75">
      <c r="B101" s="6"/>
      <c r="C101" s="6"/>
      <c r="D101" s="7"/>
      <c r="E101" s="7"/>
      <c r="F101" s="8"/>
      <c r="G101" s="9"/>
      <c r="H101" s="9"/>
      <c r="I101" s="10"/>
      <c r="J101" s="6"/>
      <c r="K101" s="4"/>
    </row>
    <row r="102" spans="2:11" ht="12.75">
      <c r="B102" s="6"/>
      <c r="C102" s="6"/>
      <c r="D102" s="7"/>
      <c r="E102" s="7"/>
      <c r="F102" s="8"/>
      <c r="G102" s="9"/>
      <c r="H102" s="9"/>
      <c r="I102" s="10"/>
      <c r="J102" s="6"/>
      <c r="K102" s="4"/>
    </row>
    <row r="103" spans="2:11" ht="12.75">
      <c r="B103" s="6"/>
      <c r="C103" s="6"/>
      <c r="D103" s="7"/>
      <c r="E103" s="7"/>
      <c r="F103" s="8"/>
      <c r="G103" s="9"/>
      <c r="H103" s="9"/>
      <c r="I103" s="10"/>
      <c r="J103" s="6"/>
      <c r="K103" s="4"/>
    </row>
    <row r="104" spans="2:11" ht="12.75">
      <c r="B104" s="6"/>
      <c r="C104" s="6"/>
      <c r="D104" s="7"/>
      <c r="E104" s="7"/>
      <c r="F104" s="8"/>
      <c r="G104" s="9"/>
      <c r="H104" s="9"/>
      <c r="I104" s="10"/>
      <c r="J104" s="6"/>
      <c r="K104" s="4"/>
    </row>
    <row r="105" spans="2:11" ht="12.75">
      <c r="B105" s="6"/>
      <c r="C105" s="6"/>
      <c r="D105" s="7"/>
      <c r="E105" s="7"/>
      <c r="F105" s="8"/>
      <c r="G105" s="9"/>
      <c r="H105" s="9"/>
      <c r="I105" s="10"/>
      <c r="J105" s="6"/>
      <c r="K105" s="4"/>
    </row>
    <row r="106" spans="2:11" ht="12.75">
      <c r="B106" s="6"/>
      <c r="C106" s="6"/>
      <c r="D106" s="7"/>
      <c r="E106" s="7"/>
      <c r="F106" s="8"/>
      <c r="G106" s="9"/>
      <c r="H106" s="9"/>
      <c r="I106" s="10"/>
      <c r="J106" s="6"/>
      <c r="K106" s="4"/>
    </row>
    <row r="107" spans="2:11" ht="12.75">
      <c r="B107" s="6"/>
      <c r="C107" s="6"/>
      <c r="D107" s="7"/>
      <c r="E107" s="7"/>
      <c r="F107" s="8"/>
      <c r="G107" s="9"/>
      <c r="H107" s="9"/>
      <c r="I107" s="10"/>
      <c r="J107" s="6"/>
      <c r="K107" s="4"/>
    </row>
    <row r="108" spans="2:11" ht="12.75">
      <c r="B108" s="6"/>
      <c r="C108" s="6"/>
      <c r="D108" s="7"/>
      <c r="E108" s="7"/>
      <c r="F108" s="8"/>
      <c r="G108" s="9"/>
      <c r="H108" s="9"/>
      <c r="I108" s="10"/>
      <c r="J108" s="6"/>
      <c r="K108" s="4"/>
    </row>
    <row r="109" spans="2:11" ht="12.75">
      <c r="B109" s="6"/>
      <c r="C109" s="6"/>
      <c r="D109" s="7"/>
      <c r="E109" s="7"/>
      <c r="F109" s="8"/>
      <c r="G109" s="9"/>
      <c r="H109" s="9"/>
      <c r="I109" s="10"/>
      <c r="J109" s="6"/>
      <c r="K109" s="4"/>
    </row>
    <row r="110" spans="2:11" ht="12.75">
      <c r="B110" s="6"/>
      <c r="C110" s="6"/>
      <c r="D110" s="7"/>
      <c r="E110" s="7"/>
      <c r="F110" s="8"/>
      <c r="G110" s="9"/>
      <c r="H110" s="9"/>
      <c r="I110" s="10"/>
      <c r="J110" s="6"/>
      <c r="K110" s="4"/>
    </row>
    <row r="111" spans="2:11" ht="12.75">
      <c r="B111" s="6"/>
      <c r="C111" s="6"/>
      <c r="D111" s="7"/>
      <c r="E111" s="7"/>
      <c r="F111" s="8"/>
      <c r="G111" s="9"/>
      <c r="H111" s="9"/>
      <c r="I111" s="10"/>
      <c r="J111" s="6"/>
      <c r="K111" s="4"/>
    </row>
    <row r="112" spans="2:11" ht="12.75">
      <c r="B112" s="6"/>
      <c r="C112" s="6"/>
      <c r="D112" s="7"/>
      <c r="E112" s="7"/>
      <c r="F112" s="8"/>
      <c r="G112" s="9"/>
      <c r="H112" s="9"/>
      <c r="I112" s="10"/>
      <c r="J112" s="6"/>
      <c r="K112" s="4"/>
    </row>
    <row r="113" spans="2:11" ht="12.75">
      <c r="B113" s="6"/>
      <c r="C113" s="6"/>
      <c r="D113" s="7"/>
      <c r="E113" s="7"/>
      <c r="F113" s="8"/>
      <c r="G113" s="9"/>
      <c r="H113" s="9"/>
      <c r="I113" s="10"/>
      <c r="J113" s="6"/>
      <c r="K113" s="4"/>
    </row>
    <row r="114" spans="2:11" ht="12.75">
      <c r="B114" s="6"/>
      <c r="C114" s="6"/>
      <c r="D114" s="7"/>
      <c r="E114" s="7"/>
      <c r="F114" s="8"/>
      <c r="G114" s="9"/>
      <c r="H114" s="9"/>
      <c r="I114" s="10"/>
      <c r="J114" s="6"/>
      <c r="K114" s="4"/>
    </row>
    <row r="115" spans="2:11" ht="12.75">
      <c r="B115" s="6"/>
      <c r="C115" s="6"/>
      <c r="D115" s="7"/>
      <c r="E115" s="7"/>
      <c r="F115" s="8"/>
      <c r="G115" s="9"/>
      <c r="H115" s="9"/>
      <c r="I115" s="10"/>
      <c r="J115" s="6"/>
      <c r="K115" s="4"/>
    </row>
    <row r="116" spans="2:11" ht="12.75">
      <c r="B116" s="6"/>
      <c r="C116" s="6"/>
      <c r="D116" s="7"/>
      <c r="E116" s="7"/>
      <c r="F116" s="8"/>
      <c r="G116" s="9"/>
      <c r="H116" s="9"/>
      <c r="I116" s="10"/>
      <c r="J116" s="6"/>
      <c r="K116" s="4"/>
    </row>
    <row r="117" spans="2:11" ht="12.75">
      <c r="B117" s="6"/>
      <c r="C117" s="6"/>
      <c r="D117" s="7"/>
      <c r="E117" s="7"/>
      <c r="F117" s="8"/>
      <c r="G117" s="9"/>
      <c r="H117" s="9"/>
      <c r="I117" s="10"/>
      <c r="J117" s="6"/>
      <c r="K117" s="4"/>
    </row>
    <row r="118" spans="2:11" ht="12.75">
      <c r="B118" s="6"/>
      <c r="C118" s="6"/>
      <c r="D118" s="7"/>
      <c r="E118" s="7"/>
      <c r="F118" s="8"/>
      <c r="G118" s="9"/>
      <c r="H118" s="9"/>
      <c r="I118" s="10"/>
      <c r="J118" s="6"/>
      <c r="K118" s="4"/>
    </row>
    <row r="119" spans="2:11" ht="12.75">
      <c r="B119" s="6"/>
      <c r="C119" s="6"/>
      <c r="D119" s="7"/>
      <c r="E119" s="7"/>
      <c r="F119" s="8"/>
      <c r="G119" s="9"/>
      <c r="H119" s="9"/>
      <c r="I119" s="10"/>
      <c r="J119" s="6"/>
      <c r="K119" s="4"/>
    </row>
    <row r="120" spans="2:11" ht="12.75">
      <c r="B120" s="6"/>
      <c r="C120" s="6"/>
      <c r="D120" s="7"/>
      <c r="E120" s="7"/>
      <c r="F120" s="8"/>
      <c r="G120" s="9"/>
      <c r="H120" s="9"/>
      <c r="I120" s="10"/>
      <c r="J120" s="6"/>
      <c r="K120" s="4"/>
    </row>
    <row r="121" spans="2:11" ht="12.75">
      <c r="B121" s="6"/>
      <c r="C121" s="6"/>
      <c r="D121" s="7"/>
      <c r="E121" s="7"/>
      <c r="F121" s="8"/>
      <c r="G121" s="9"/>
      <c r="H121" s="9"/>
      <c r="I121" s="10"/>
      <c r="J121" s="6"/>
      <c r="K121" s="4"/>
    </row>
    <row r="122" spans="2:11" ht="12.75">
      <c r="B122" s="6"/>
      <c r="C122" s="6"/>
      <c r="D122" s="7"/>
      <c r="E122" s="7"/>
      <c r="F122" s="8"/>
      <c r="G122" s="9"/>
      <c r="H122" s="9"/>
      <c r="I122" s="10"/>
      <c r="J122" s="6"/>
      <c r="K122" s="4"/>
    </row>
    <row r="123" spans="2:11" ht="12.75">
      <c r="B123" s="6"/>
      <c r="C123" s="6"/>
      <c r="D123" s="7"/>
      <c r="E123" s="7"/>
      <c r="F123" s="8"/>
      <c r="G123" s="9"/>
      <c r="H123" s="9"/>
      <c r="I123" s="10"/>
      <c r="J123" s="6"/>
      <c r="K123" s="4"/>
    </row>
    <row r="124" spans="2:11" ht="12.75">
      <c r="B124" s="6"/>
      <c r="C124" s="6"/>
      <c r="D124" s="7"/>
      <c r="E124" s="7"/>
      <c r="F124" s="8"/>
      <c r="G124" s="9"/>
      <c r="H124" s="9"/>
      <c r="I124" s="10"/>
      <c r="J124" s="6"/>
      <c r="K124" s="4"/>
    </row>
    <row r="125" spans="2:11" ht="12.75">
      <c r="B125" s="6"/>
      <c r="C125" s="6"/>
      <c r="D125" s="7"/>
      <c r="E125" s="7"/>
      <c r="F125" s="8"/>
      <c r="G125" s="9"/>
      <c r="H125" s="9"/>
      <c r="I125" s="10"/>
      <c r="J125" s="6"/>
      <c r="K125" s="4"/>
    </row>
    <row r="126" spans="2:11" ht="12.75">
      <c r="B126" s="6"/>
      <c r="C126" s="6"/>
      <c r="D126" s="7"/>
      <c r="E126" s="7"/>
      <c r="F126" s="8"/>
      <c r="G126" s="9"/>
      <c r="H126" s="9"/>
      <c r="I126" s="10"/>
      <c r="J126" s="6"/>
      <c r="K126" s="4"/>
    </row>
    <row r="127" spans="2:11" ht="12.75">
      <c r="B127" s="6"/>
      <c r="C127" s="6"/>
      <c r="D127" s="7"/>
      <c r="E127" s="7"/>
      <c r="F127" s="8"/>
      <c r="G127" s="9"/>
      <c r="H127" s="9"/>
      <c r="I127" s="10"/>
      <c r="J127" s="6"/>
      <c r="K127" s="4"/>
    </row>
    <row r="128" spans="2:11" ht="12.75">
      <c r="B128" s="6"/>
      <c r="C128" s="6"/>
      <c r="D128" s="7"/>
      <c r="E128" s="7"/>
      <c r="F128" s="8"/>
      <c r="G128" s="9"/>
      <c r="H128" s="9"/>
      <c r="I128" s="10"/>
      <c r="J128" s="6"/>
      <c r="K128" s="4"/>
    </row>
    <row r="129" spans="2:11" ht="12.75">
      <c r="B129" s="6"/>
      <c r="C129" s="6"/>
      <c r="D129" s="7"/>
      <c r="E129" s="7"/>
      <c r="F129" s="8"/>
      <c r="G129" s="9"/>
      <c r="H129" s="9"/>
      <c r="I129" s="10"/>
      <c r="J129" s="6"/>
      <c r="K129" s="4"/>
    </row>
    <row r="130" spans="2:11" ht="12.75">
      <c r="B130" s="6"/>
      <c r="C130" s="6"/>
      <c r="D130" s="7"/>
      <c r="E130" s="7"/>
      <c r="F130" s="8"/>
      <c r="G130" s="9"/>
      <c r="H130" s="9"/>
      <c r="I130" s="10"/>
      <c r="J130" s="6"/>
      <c r="K130" s="4"/>
    </row>
    <row r="131" spans="2:11" ht="12.75">
      <c r="B131" s="6"/>
      <c r="C131" s="6"/>
      <c r="D131" s="7"/>
      <c r="E131" s="7"/>
      <c r="F131" s="8"/>
      <c r="G131" s="9"/>
      <c r="H131" s="9"/>
      <c r="I131" s="10"/>
      <c r="J131" s="6"/>
      <c r="K131" s="4"/>
    </row>
    <row r="132" spans="2:11" ht="12.75">
      <c r="B132" s="6"/>
      <c r="C132" s="6"/>
      <c r="D132" s="7"/>
      <c r="E132" s="7"/>
      <c r="F132" s="8"/>
      <c r="G132" s="9"/>
      <c r="H132" s="9"/>
      <c r="I132" s="10"/>
      <c r="J132" s="6"/>
      <c r="K132" s="4"/>
    </row>
    <row r="133" spans="2:11" ht="12.75">
      <c r="B133" s="6"/>
      <c r="C133" s="6"/>
      <c r="D133" s="7"/>
      <c r="E133" s="7"/>
      <c r="F133" s="8"/>
      <c r="G133" s="9"/>
      <c r="H133" s="9"/>
      <c r="I133" s="10"/>
      <c r="J133" s="6"/>
      <c r="K133" s="4"/>
    </row>
    <row r="134" spans="2:11" ht="12.75">
      <c r="B134" s="6"/>
      <c r="C134" s="6"/>
      <c r="D134" s="7"/>
      <c r="E134" s="7"/>
      <c r="F134" s="8"/>
      <c r="G134" s="9"/>
      <c r="H134" s="9"/>
      <c r="I134" s="10"/>
      <c r="J134" s="6"/>
      <c r="K134" s="4"/>
    </row>
    <row r="135" spans="2:11" ht="12.75">
      <c r="B135" s="6"/>
      <c r="C135" s="6"/>
      <c r="D135" s="7"/>
      <c r="E135" s="7"/>
      <c r="F135" s="8"/>
      <c r="G135" s="9"/>
      <c r="H135" s="9"/>
      <c r="I135" s="10"/>
      <c r="J135" s="6"/>
      <c r="K135" s="4"/>
    </row>
    <row r="136" spans="2:11" ht="12.75">
      <c r="B136" s="6"/>
      <c r="C136" s="6"/>
      <c r="D136" s="7"/>
      <c r="E136" s="7"/>
      <c r="F136" s="8"/>
      <c r="G136" s="9"/>
      <c r="H136" s="9"/>
      <c r="I136" s="10"/>
      <c r="J136" s="6"/>
      <c r="K136" s="4"/>
    </row>
    <row r="137" spans="2:11" ht="12.75">
      <c r="B137" s="6"/>
      <c r="C137" s="6"/>
      <c r="D137" s="7"/>
      <c r="E137" s="7"/>
      <c r="F137" s="8"/>
      <c r="G137" s="9"/>
      <c r="H137" s="9"/>
      <c r="I137" s="10"/>
      <c r="J137" s="6"/>
      <c r="K137" s="4"/>
    </row>
    <row r="138" spans="2:11" ht="12.75">
      <c r="B138" s="6"/>
      <c r="C138" s="6"/>
      <c r="D138" s="7"/>
      <c r="E138" s="7"/>
      <c r="F138" s="8"/>
      <c r="G138" s="9"/>
      <c r="H138" s="9"/>
      <c r="I138" s="10"/>
      <c r="J138" s="6"/>
      <c r="K138" s="4"/>
    </row>
    <row r="139" spans="2:11" ht="12.75">
      <c r="B139" s="6"/>
      <c r="C139" s="6"/>
      <c r="D139" s="7"/>
      <c r="E139" s="7"/>
      <c r="F139" s="8"/>
      <c r="G139" s="9"/>
      <c r="H139" s="9"/>
      <c r="I139" s="10"/>
      <c r="J139" s="6"/>
      <c r="K139" s="4"/>
    </row>
    <row r="140" spans="2:11" ht="12.75">
      <c r="B140" s="6"/>
      <c r="C140" s="6"/>
      <c r="D140" s="7"/>
      <c r="E140" s="7"/>
      <c r="F140" s="8"/>
      <c r="G140" s="9"/>
      <c r="H140" s="9"/>
      <c r="I140" s="10"/>
      <c r="J140" s="6"/>
      <c r="K140" s="4"/>
    </row>
    <row r="141" spans="2:11" ht="12.75">
      <c r="B141" s="6"/>
      <c r="C141" s="6"/>
      <c r="D141" s="7"/>
      <c r="E141" s="7"/>
      <c r="F141" s="8"/>
      <c r="G141" s="9"/>
      <c r="H141" s="9"/>
      <c r="I141" s="10"/>
      <c r="J141" s="6"/>
      <c r="K141" s="4"/>
    </row>
    <row r="142" spans="2:11" ht="12.75">
      <c r="B142" s="6"/>
      <c r="C142" s="6"/>
      <c r="D142" s="7"/>
      <c r="E142" s="7"/>
      <c r="F142" s="8"/>
      <c r="G142" s="9"/>
      <c r="H142" s="9"/>
      <c r="I142" s="10"/>
      <c r="J142" s="6"/>
      <c r="K142" s="4"/>
    </row>
    <row r="143" spans="2:11" ht="12.75">
      <c r="B143" s="6"/>
      <c r="C143" s="6"/>
      <c r="D143" s="7"/>
      <c r="E143" s="7"/>
      <c r="F143" s="8"/>
      <c r="G143" s="9"/>
      <c r="H143" s="9"/>
      <c r="I143" s="10"/>
      <c r="J143" s="6"/>
      <c r="K143" s="4"/>
    </row>
    <row r="144" spans="2:11" ht="12.75">
      <c r="B144" s="6"/>
      <c r="C144" s="6"/>
      <c r="D144" s="7"/>
      <c r="E144" s="7"/>
      <c r="F144" s="8"/>
      <c r="G144" s="9"/>
      <c r="H144" s="9"/>
      <c r="I144" s="10"/>
      <c r="J144" s="6"/>
      <c r="K144" s="4"/>
    </row>
    <row r="145" spans="2:11" ht="12.75">
      <c r="B145" s="6"/>
      <c r="C145" s="6"/>
      <c r="D145" s="7"/>
      <c r="E145" s="7"/>
      <c r="F145" s="8"/>
      <c r="G145" s="9"/>
      <c r="H145" s="9"/>
      <c r="I145" s="10"/>
      <c r="J145" s="6"/>
      <c r="K145" s="4"/>
    </row>
    <row r="146" spans="2:11" ht="12.75">
      <c r="B146" s="6"/>
      <c r="C146" s="6"/>
      <c r="D146" s="7"/>
      <c r="E146" s="7"/>
      <c r="F146" s="8"/>
      <c r="G146" s="9"/>
      <c r="H146" s="9"/>
      <c r="I146" s="10"/>
      <c r="J146" s="6"/>
      <c r="K146" s="4"/>
    </row>
    <row r="147" spans="2:11" ht="12.75">
      <c r="B147" s="6"/>
      <c r="C147" s="6"/>
      <c r="D147" s="7"/>
      <c r="E147" s="7"/>
      <c r="F147" s="8"/>
      <c r="G147" s="9"/>
      <c r="H147" s="9"/>
      <c r="I147" s="10"/>
      <c r="J147" s="6"/>
      <c r="K147" s="4"/>
    </row>
    <row r="148" spans="2:11" ht="12.75">
      <c r="B148" s="6"/>
      <c r="C148" s="6"/>
      <c r="D148" s="7"/>
      <c r="E148" s="7"/>
      <c r="F148" s="8"/>
      <c r="G148" s="9"/>
      <c r="H148" s="9"/>
      <c r="I148" s="10"/>
      <c r="J148" s="6"/>
      <c r="K148" s="4"/>
    </row>
    <row r="149" spans="2:11" ht="12.75">
      <c r="B149" s="6"/>
      <c r="C149" s="6"/>
      <c r="D149" s="7"/>
      <c r="E149" s="7"/>
      <c r="F149" s="8"/>
      <c r="G149" s="9"/>
      <c r="H149" s="9"/>
      <c r="I149" s="10"/>
      <c r="J149" s="6"/>
      <c r="K149" s="4"/>
    </row>
    <row r="150" spans="2:11" ht="12.75">
      <c r="B150" s="6"/>
      <c r="C150" s="6"/>
      <c r="D150" s="7"/>
      <c r="E150" s="7"/>
      <c r="F150" s="8"/>
      <c r="G150" s="9"/>
      <c r="H150" s="9"/>
      <c r="I150" s="10"/>
      <c r="J150" s="6"/>
      <c r="K150" s="4"/>
    </row>
    <row r="151" spans="2:11" ht="12.75">
      <c r="B151" s="6"/>
      <c r="C151" s="6"/>
      <c r="D151" s="7"/>
      <c r="E151" s="7"/>
      <c r="F151" s="8"/>
      <c r="G151" s="9"/>
      <c r="H151" s="9"/>
      <c r="I151" s="10"/>
      <c r="J151" s="6"/>
      <c r="K151" s="4"/>
    </row>
    <row r="152" spans="2:11" ht="12.75">
      <c r="B152" s="6"/>
      <c r="C152" s="6"/>
      <c r="D152" s="7"/>
      <c r="E152" s="7"/>
      <c r="F152" s="8"/>
      <c r="G152" s="9"/>
      <c r="H152" s="9"/>
      <c r="I152" s="10"/>
      <c r="J152" s="6"/>
      <c r="K152" s="4"/>
    </row>
    <row r="153" spans="2:11" ht="12.75">
      <c r="B153" s="6"/>
      <c r="C153" s="6"/>
      <c r="D153" s="7"/>
      <c r="E153" s="7"/>
      <c r="F153" s="8"/>
      <c r="G153" s="9"/>
      <c r="H153" s="9"/>
      <c r="I153" s="10"/>
      <c r="J153" s="6"/>
      <c r="K153" s="4"/>
    </row>
    <row r="154" spans="2:11" ht="12.75">
      <c r="B154" s="6"/>
      <c r="C154" s="6"/>
      <c r="D154" s="7"/>
      <c r="E154" s="7"/>
      <c r="F154" s="8"/>
      <c r="G154" s="9"/>
      <c r="H154" s="9"/>
      <c r="I154" s="10"/>
      <c r="J154" s="6"/>
      <c r="K154" s="4"/>
    </row>
    <row r="155" spans="2:11" ht="12.75">
      <c r="B155" s="6"/>
      <c r="C155" s="6"/>
      <c r="D155" s="7"/>
      <c r="E155" s="7"/>
      <c r="F155" s="8"/>
      <c r="G155" s="9"/>
      <c r="H155" s="9"/>
      <c r="I155" s="10"/>
      <c r="J155" s="6"/>
      <c r="K155" s="4"/>
    </row>
    <row r="156" spans="2:11" ht="12.75">
      <c r="B156" s="6"/>
      <c r="C156" s="6"/>
      <c r="D156" s="7"/>
      <c r="E156" s="7"/>
      <c r="F156" s="8"/>
      <c r="G156" s="9"/>
      <c r="H156" s="9"/>
      <c r="I156" s="10"/>
      <c r="J156" s="6"/>
      <c r="K156" s="4"/>
    </row>
    <row r="157" spans="2:11" ht="12.75">
      <c r="B157" s="6"/>
      <c r="C157" s="6"/>
      <c r="D157" s="7"/>
      <c r="E157" s="7"/>
      <c r="F157" s="8"/>
      <c r="G157" s="9"/>
      <c r="H157" s="9"/>
      <c r="I157" s="10"/>
      <c r="J157" s="6"/>
      <c r="K157" s="4"/>
    </row>
    <row r="158" spans="2:11" ht="12.75">
      <c r="B158" s="6"/>
      <c r="C158" s="6"/>
      <c r="D158" s="7"/>
      <c r="E158" s="7"/>
      <c r="F158" s="8"/>
      <c r="G158" s="9"/>
      <c r="H158" s="9"/>
      <c r="I158" s="10"/>
      <c r="J158" s="6"/>
      <c r="K158" s="4"/>
    </row>
    <row r="159" spans="2:11" ht="12.75">
      <c r="B159" s="6"/>
      <c r="C159" s="6"/>
      <c r="D159" s="7"/>
      <c r="E159" s="7"/>
      <c r="F159" s="8"/>
      <c r="G159" s="9"/>
      <c r="H159" s="9"/>
      <c r="I159" s="10"/>
      <c r="J159" s="6"/>
      <c r="K159" s="4"/>
    </row>
    <row r="160" spans="2:11" ht="12.75">
      <c r="B160" s="6"/>
      <c r="C160" s="6"/>
      <c r="D160" s="7"/>
      <c r="E160" s="7"/>
      <c r="F160" s="8"/>
      <c r="G160" s="9"/>
      <c r="H160" s="9"/>
      <c r="I160" s="10"/>
      <c r="J160" s="6"/>
      <c r="K160" s="4"/>
    </row>
    <row r="161" spans="2:11" ht="12.75">
      <c r="B161" s="6"/>
      <c r="C161" s="6"/>
      <c r="D161" s="7"/>
      <c r="E161" s="7"/>
      <c r="F161" s="8"/>
      <c r="G161" s="9"/>
      <c r="H161" s="9"/>
      <c r="I161" s="10"/>
      <c r="J161" s="6"/>
      <c r="K161" s="4"/>
    </row>
    <row r="162" spans="2:11" ht="12.75">
      <c r="B162" s="6"/>
      <c r="C162" s="6"/>
      <c r="D162" s="7"/>
      <c r="E162" s="7"/>
      <c r="F162" s="8"/>
      <c r="G162" s="9"/>
      <c r="H162" s="9"/>
      <c r="I162" s="10"/>
      <c r="J162" s="6"/>
      <c r="K162" s="4"/>
    </row>
    <row r="163" spans="2:11" ht="12.75">
      <c r="B163" s="6"/>
      <c r="C163" s="6"/>
      <c r="D163" s="7"/>
      <c r="E163" s="7"/>
      <c r="F163" s="8"/>
      <c r="G163" s="9"/>
      <c r="H163" s="9"/>
      <c r="I163" s="10"/>
      <c r="J163" s="6"/>
      <c r="K163" s="4"/>
    </row>
    <row r="164" spans="2:11" ht="12.75">
      <c r="B164" s="6"/>
      <c r="C164" s="6"/>
      <c r="D164" s="7"/>
      <c r="E164" s="7"/>
      <c r="F164" s="8"/>
      <c r="G164" s="9"/>
      <c r="H164" s="9"/>
      <c r="I164" s="10"/>
      <c r="J164" s="6"/>
      <c r="K164" s="4"/>
    </row>
    <row r="165" spans="2:11" ht="12.75">
      <c r="B165" s="6"/>
      <c r="C165" s="6"/>
      <c r="D165" s="7"/>
      <c r="E165" s="7"/>
      <c r="F165" s="8"/>
      <c r="G165" s="9"/>
      <c r="H165" s="9"/>
      <c r="I165" s="10"/>
      <c r="J165" s="6"/>
      <c r="K165" s="4"/>
    </row>
    <row r="166" spans="2:11" ht="12.75">
      <c r="B166" s="6"/>
      <c r="C166" s="6"/>
      <c r="D166" s="7"/>
      <c r="E166" s="7"/>
      <c r="F166" s="8"/>
      <c r="G166" s="9"/>
      <c r="H166" s="9"/>
      <c r="I166" s="10"/>
      <c r="J166" s="6"/>
      <c r="K166" s="4"/>
    </row>
    <row r="167" spans="2:11" ht="12.75">
      <c r="B167" s="6"/>
      <c r="C167" s="6"/>
      <c r="D167" s="7"/>
      <c r="E167" s="7"/>
      <c r="F167" s="8"/>
      <c r="G167" s="9"/>
      <c r="H167" s="9"/>
      <c r="I167" s="10"/>
      <c r="J167" s="6"/>
      <c r="K167" s="4"/>
    </row>
    <row r="168" spans="2:11" ht="12.75">
      <c r="B168" s="6"/>
      <c r="C168" s="6"/>
      <c r="D168" s="7"/>
      <c r="E168" s="7"/>
      <c r="F168" s="8"/>
      <c r="G168" s="9"/>
      <c r="H168" s="9"/>
      <c r="I168" s="10"/>
      <c r="J168" s="6"/>
      <c r="K168" s="4"/>
    </row>
    <row r="169" spans="2:11" ht="12.75">
      <c r="B169" s="6"/>
      <c r="C169" s="6"/>
      <c r="D169" s="7"/>
      <c r="E169" s="7"/>
      <c r="F169" s="8"/>
      <c r="G169" s="9"/>
      <c r="H169" s="9"/>
      <c r="I169" s="10"/>
      <c r="J169" s="6"/>
      <c r="K169" s="4"/>
    </row>
    <row r="170" spans="2:11" ht="12.75">
      <c r="B170" s="6"/>
      <c r="C170" s="6"/>
      <c r="D170" s="7"/>
      <c r="E170" s="7"/>
      <c r="F170" s="8"/>
      <c r="G170" s="9"/>
      <c r="H170" s="9"/>
      <c r="I170" s="10"/>
      <c r="J170" s="6"/>
      <c r="K170" s="4"/>
    </row>
    <row r="171" spans="2:11" ht="12.75">
      <c r="B171" s="6"/>
      <c r="C171" s="6"/>
      <c r="D171" s="7"/>
      <c r="E171" s="7"/>
      <c r="F171" s="8"/>
      <c r="G171" s="9"/>
      <c r="H171" s="9"/>
      <c r="I171" s="10"/>
      <c r="J171" s="6"/>
      <c r="K171" s="4"/>
    </row>
    <row r="172" spans="2:11" ht="12.75">
      <c r="B172" s="6"/>
      <c r="C172" s="6"/>
      <c r="D172" s="7"/>
      <c r="E172" s="7"/>
      <c r="F172" s="8"/>
      <c r="G172" s="9"/>
      <c r="H172" s="9"/>
      <c r="I172" s="10"/>
      <c r="J172" s="6"/>
      <c r="K172" s="4"/>
    </row>
    <row r="173" spans="2:11" ht="12.75">
      <c r="B173" s="6"/>
      <c r="C173" s="6"/>
      <c r="D173" s="7"/>
      <c r="E173" s="7"/>
      <c r="F173" s="8"/>
      <c r="G173" s="9"/>
      <c r="H173" s="9"/>
      <c r="I173" s="10"/>
      <c r="J173" s="6"/>
      <c r="K173" s="4"/>
    </row>
    <row r="174" spans="2:11" ht="12.75">
      <c r="B174" s="6"/>
      <c r="C174" s="6"/>
      <c r="D174" s="7"/>
      <c r="E174" s="7"/>
      <c r="F174" s="8"/>
      <c r="G174" s="9"/>
      <c r="H174" s="9"/>
      <c r="I174" s="10"/>
      <c r="J174" s="6"/>
      <c r="K174" s="4"/>
    </row>
    <row r="175" spans="2:11" ht="12.75">
      <c r="B175" s="6"/>
      <c r="C175" s="6"/>
      <c r="D175" s="7"/>
      <c r="E175" s="7"/>
      <c r="F175" s="8"/>
      <c r="G175" s="9"/>
      <c r="H175" s="9"/>
      <c r="I175" s="10"/>
      <c r="J175" s="6"/>
      <c r="K175" s="4"/>
    </row>
    <row r="176" spans="2:11" ht="12.75">
      <c r="B176" s="6"/>
      <c r="C176" s="6"/>
      <c r="D176" s="7"/>
      <c r="E176" s="7"/>
      <c r="F176" s="8"/>
      <c r="G176" s="9"/>
      <c r="H176" s="9"/>
      <c r="I176" s="10"/>
      <c r="J176" s="6"/>
      <c r="K176" s="4"/>
    </row>
    <row r="177" spans="2:11" ht="12.75">
      <c r="B177" s="6"/>
      <c r="C177" s="6"/>
      <c r="D177" s="7"/>
      <c r="E177" s="7"/>
      <c r="F177" s="8"/>
      <c r="G177" s="9"/>
      <c r="H177" s="9"/>
      <c r="I177" s="10"/>
      <c r="J177" s="6"/>
      <c r="K177" s="4"/>
    </row>
    <row r="178" spans="2:11" ht="12.75">
      <c r="B178" s="6"/>
      <c r="C178" s="6"/>
      <c r="D178" s="7"/>
      <c r="E178" s="7"/>
      <c r="F178" s="8"/>
      <c r="G178" s="9"/>
      <c r="H178" s="9"/>
      <c r="I178" s="10"/>
      <c r="J178" s="6"/>
      <c r="K178" s="4"/>
    </row>
    <row r="179" spans="2:11" ht="12.75">
      <c r="B179" s="6"/>
      <c r="C179" s="6"/>
      <c r="D179" s="7"/>
      <c r="E179" s="7"/>
      <c r="F179" s="8"/>
      <c r="G179" s="9"/>
      <c r="H179" s="9"/>
      <c r="I179" s="10"/>
      <c r="J179" s="6"/>
      <c r="K179" s="4"/>
    </row>
    <row r="180" spans="2:11" ht="12.75">
      <c r="B180" s="6"/>
      <c r="C180" s="6"/>
      <c r="D180" s="7"/>
      <c r="E180" s="7"/>
      <c r="F180" s="8"/>
      <c r="G180" s="9"/>
      <c r="H180" s="9"/>
      <c r="I180" s="10"/>
      <c r="J180" s="6"/>
      <c r="K180" s="4"/>
    </row>
    <row r="181" spans="2:11" ht="12.75">
      <c r="B181" s="6"/>
      <c r="C181" s="6"/>
      <c r="D181" s="7"/>
      <c r="E181" s="7"/>
      <c r="F181" s="8"/>
      <c r="G181" s="9"/>
      <c r="H181" s="9"/>
      <c r="I181" s="10"/>
      <c r="J181" s="6"/>
      <c r="K181" s="4"/>
    </row>
    <row r="182" spans="2:11" ht="12.75">
      <c r="B182" s="6"/>
      <c r="C182" s="6"/>
      <c r="D182" s="7"/>
      <c r="E182" s="7"/>
      <c r="F182" s="8"/>
      <c r="G182" s="9"/>
      <c r="H182" s="9"/>
      <c r="I182" s="10"/>
      <c r="J182" s="6"/>
      <c r="K182" s="4"/>
    </row>
    <row r="183" spans="2:11" ht="12.75">
      <c r="B183" s="6"/>
      <c r="C183" s="6"/>
      <c r="D183" s="7"/>
      <c r="E183" s="7"/>
      <c r="F183" s="8"/>
      <c r="G183" s="9"/>
      <c r="H183" s="9"/>
      <c r="I183" s="10"/>
      <c r="J183" s="6"/>
      <c r="K183" s="4"/>
    </row>
    <row r="184" spans="2:11" ht="12.75">
      <c r="B184" s="6"/>
      <c r="C184" s="6"/>
      <c r="D184" s="7"/>
      <c r="E184" s="7"/>
      <c r="F184" s="8"/>
      <c r="G184" s="9"/>
      <c r="H184" s="9"/>
      <c r="I184" s="10"/>
      <c r="J184" s="6"/>
      <c r="K184" s="4"/>
    </row>
    <row r="185" spans="2:11" ht="12.75">
      <c r="B185" s="6"/>
      <c r="C185" s="6"/>
      <c r="D185" s="7"/>
      <c r="E185" s="7"/>
      <c r="F185" s="8"/>
      <c r="G185" s="9"/>
      <c r="H185" s="9"/>
      <c r="I185" s="10"/>
      <c r="J185" s="6"/>
      <c r="K185" s="4"/>
    </row>
    <row r="186" spans="2:11" ht="12.75">
      <c r="B186" s="6"/>
      <c r="C186" s="6"/>
      <c r="D186" s="7"/>
      <c r="E186" s="7"/>
      <c r="F186" s="8"/>
      <c r="G186" s="9"/>
      <c r="H186" s="9"/>
      <c r="I186" s="10"/>
      <c r="J186" s="6"/>
      <c r="K186" s="4"/>
    </row>
    <row r="187" spans="2:11" ht="12.75">
      <c r="B187" s="6"/>
      <c r="C187" s="6"/>
      <c r="D187" s="7"/>
      <c r="E187" s="7"/>
      <c r="F187" s="8"/>
      <c r="G187" s="9"/>
      <c r="H187" s="9"/>
      <c r="I187" s="10"/>
      <c r="J187" s="6"/>
      <c r="K187" s="4"/>
    </row>
    <row r="188" spans="2:11" ht="12.75">
      <c r="B188" s="6"/>
      <c r="C188" s="6"/>
      <c r="D188" s="7"/>
      <c r="E188" s="7"/>
      <c r="F188" s="8"/>
      <c r="G188" s="9"/>
      <c r="H188" s="9"/>
      <c r="I188" s="10"/>
      <c r="J188" s="6"/>
      <c r="K188" s="4"/>
    </row>
    <row r="189" spans="2:11" ht="12.75">
      <c r="B189" s="6"/>
      <c r="C189" s="6"/>
      <c r="D189" s="7"/>
      <c r="E189" s="7"/>
      <c r="F189" s="8"/>
      <c r="G189" s="9"/>
      <c r="H189" s="9"/>
      <c r="I189" s="10"/>
      <c r="J189" s="6"/>
      <c r="K189" s="4"/>
    </row>
    <row r="190" spans="2:11" ht="12.75">
      <c r="B190" s="6"/>
      <c r="C190" s="6"/>
      <c r="D190" s="7"/>
      <c r="E190" s="7"/>
      <c r="F190" s="8"/>
      <c r="G190" s="9"/>
      <c r="H190" s="9"/>
      <c r="I190" s="10"/>
      <c r="J190" s="6"/>
      <c r="K190" s="4"/>
    </row>
    <row r="191" spans="2:11" ht="12.75">
      <c r="B191" s="6"/>
      <c r="C191" s="6"/>
      <c r="D191" s="7"/>
      <c r="E191" s="7"/>
      <c r="F191" s="8"/>
      <c r="G191" s="9"/>
      <c r="H191" s="9"/>
      <c r="I191" s="10"/>
      <c r="J191" s="6"/>
      <c r="K191" s="4"/>
    </row>
    <row r="192" spans="2:11" ht="12.75">
      <c r="B192" s="6"/>
      <c r="C192" s="6"/>
      <c r="D192" s="7"/>
      <c r="E192" s="7"/>
      <c r="F192" s="8"/>
      <c r="G192" s="9"/>
      <c r="H192" s="9"/>
      <c r="I192" s="10"/>
      <c r="J192" s="6"/>
      <c r="K192" s="4"/>
    </row>
    <row r="193" spans="2:11" ht="12.75">
      <c r="B193" s="6"/>
      <c r="C193" s="6"/>
      <c r="D193" s="7"/>
      <c r="E193" s="7"/>
      <c r="F193" s="8"/>
      <c r="G193" s="9"/>
      <c r="H193" s="9"/>
      <c r="I193" s="10"/>
      <c r="J193" s="6"/>
      <c r="K193" s="4"/>
    </row>
    <row r="194" spans="2:11" ht="12.75">
      <c r="B194" s="6"/>
      <c r="C194" s="6"/>
      <c r="D194" s="7"/>
      <c r="E194" s="7"/>
      <c r="F194" s="8"/>
      <c r="G194" s="9"/>
      <c r="H194" s="9"/>
      <c r="I194" s="10"/>
      <c r="J194" s="6"/>
      <c r="K194" s="4"/>
    </row>
    <row r="195" spans="2:11" ht="12.75">
      <c r="B195" s="6"/>
      <c r="C195" s="6"/>
      <c r="D195" s="7"/>
      <c r="E195" s="7"/>
      <c r="F195" s="8"/>
      <c r="G195" s="9"/>
      <c r="H195" s="9"/>
      <c r="I195" s="10"/>
      <c r="J195" s="6"/>
      <c r="K195" s="4"/>
    </row>
    <row r="196" spans="2:11" ht="12.75">
      <c r="B196" s="6"/>
      <c r="C196" s="6"/>
      <c r="D196" s="7"/>
      <c r="E196" s="7"/>
      <c r="F196" s="8"/>
      <c r="G196" s="9"/>
      <c r="H196" s="9"/>
      <c r="I196" s="10"/>
      <c r="J196" s="6"/>
      <c r="K196" s="4"/>
    </row>
    <row r="197" spans="2:11" ht="12.75">
      <c r="B197" s="6"/>
      <c r="C197" s="6"/>
      <c r="D197" s="7"/>
      <c r="E197" s="7"/>
      <c r="F197" s="8"/>
      <c r="G197" s="9"/>
      <c r="H197" s="9"/>
      <c r="I197" s="10"/>
      <c r="J197" s="6"/>
      <c r="K197" s="4"/>
    </row>
    <row r="198" spans="2:11" ht="12.75">
      <c r="B198" s="6"/>
      <c r="C198" s="6"/>
      <c r="D198" s="7"/>
      <c r="E198" s="7"/>
      <c r="F198" s="8"/>
      <c r="G198" s="9"/>
      <c r="H198" s="9"/>
      <c r="I198" s="10"/>
      <c r="J198" s="6"/>
      <c r="K198" s="4"/>
    </row>
    <row r="199" spans="2:11" ht="12.75">
      <c r="B199" s="6"/>
      <c r="C199" s="6"/>
      <c r="D199" s="7"/>
      <c r="E199" s="7"/>
      <c r="F199" s="8"/>
      <c r="G199" s="9"/>
      <c r="H199" s="9"/>
      <c r="I199" s="10"/>
      <c r="J199" s="6"/>
      <c r="K199" s="4"/>
    </row>
    <row r="200" spans="2:11" ht="12.75">
      <c r="B200" s="6"/>
      <c r="C200" s="6"/>
      <c r="D200" s="7"/>
      <c r="E200" s="7"/>
      <c r="F200" s="8"/>
      <c r="G200" s="9"/>
      <c r="H200" s="9"/>
      <c r="I200" s="10"/>
      <c r="J200" s="6"/>
      <c r="K200" s="4"/>
    </row>
    <row r="201" spans="2:11" ht="12.75">
      <c r="B201" s="6"/>
      <c r="C201" s="6"/>
      <c r="D201" s="7"/>
      <c r="E201" s="7"/>
      <c r="F201" s="8"/>
      <c r="G201" s="9"/>
      <c r="H201" s="9"/>
      <c r="I201" s="10"/>
      <c r="J201" s="6"/>
      <c r="K201" s="4"/>
    </row>
    <row r="202" spans="2:11" ht="12.75">
      <c r="B202" s="6"/>
      <c r="C202" s="6"/>
      <c r="D202" s="7"/>
      <c r="E202" s="7"/>
      <c r="F202" s="8"/>
      <c r="G202" s="9"/>
      <c r="H202" s="9"/>
      <c r="I202" s="10"/>
      <c r="J202" s="6"/>
      <c r="K202" s="4"/>
    </row>
    <row r="203" spans="2:11" ht="12.75">
      <c r="B203" s="6"/>
      <c r="C203" s="6"/>
      <c r="D203" s="7"/>
      <c r="E203" s="7"/>
      <c r="F203" s="8"/>
      <c r="G203" s="9"/>
      <c r="H203" s="9"/>
      <c r="I203" s="10"/>
      <c r="J203" s="6"/>
      <c r="K203" s="4"/>
    </row>
    <row r="204" spans="2:11" ht="12.75">
      <c r="B204" s="6"/>
      <c r="C204" s="6"/>
      <c r="D204" s="7"/>
      <c r="E204" s="7"/>
      <c r="F204" s="8"/>
      <c r="G204" s="9"/>
      <c r="H204" s="9"/>
      <c r="I204" s="10"/>
      <c r="J204" s="6"/>
      <c r="K204" s="4"/>
    </row>
    <row r="205" spans="2:11" ht="12.75">
      <c r="B205" s="6"/>
      <c r="C205" s="6"/>
      <c r="D205" s="7"/>
      <c r="E205" s="7"/>
      <c r="F205" s="8"/>
      <c r="G205" s="9"/>
      <c r="H205" s="9"/>
      <c r="I205" s="10"/>
      <c r="J205" s="6"/>
      <c r="K205" s="4"/>
    </row>
    <row r="206" spans="2:11" ht="12.75">
      <c r="B206" s="6"/>
      <c r="C206" s="6"/>
      <c r="D206" s="7"/>
      <c r="E206" s="7"/>
      <c r="F206" s="8"/>
      <c r="G206" s="9"/>
      <c r="H206" s="9"/>
      <c r="I206" s="10"/>
      <c r="J206" s="6"/>
      <c r="K206" s="4"/>
    </row>
    <row r="207" spans="2:11" ht="12.75">
      <c r="B207" s="6"/>
      <c r="C207" s="6"/>
      <c r="D207" s="7"/>
      <c r="E207" s="7"/>
      <c r="F207" s="8"/>
      <c r="G207" s="9"/>
      <c r="H207" s="9"/>
      <c r="I207" s="10"/>
      <c r="J207" s="6"/>
      <c r="K207" s="4"/>
    </row>
    <row r="208" spans="2:11" ht="12.75">
      <c r="B208" s="6"/>
      <c r="C208" s="6"/>
      <c r="D208" s="7"/>
      <c r="E208" s="7"/>
      <c r="F208" s="8"/>
      <c r="G208" s="9"/>
      <c r="H208" s="9"/>
      <c r="I208" s="10"/>
      <c r="J208" s="6"/>
      <c r="K208" s="4"/>
    </row>
    <row r="209" spans="2:11" ht="12.75">
      <c r="B209" s="6"/>
      <c r="C209" s="6"/>
      <c r="D209" s="7"/>
      <c r="E209" s="7"/>
      <c r="F209" s="8"/>
      <c r="G209" s="9"/>
      <c r="H209" s="9"/>
      <c r="I209" s="10"/>
      <c r="J209" s="6"/>
      <c r="K209" s="4"/>
    </row>
    <row r="210" spans="2:11" ht="12.75">
      <c r="B210" s="6"/>
      <c r="C210" s="6"/>
      <c r="D210" s="7"/>
      <c r="E210" s="7"/>
      <c r="F210" s="8"/>
      <c r="G210" s="9"/>
      <c r="H210" s="9"/>
      <c r="I210" s="10"/>
      <c r="J210" s="6"/>
      <c r="K210" s="4"/>
    </row>
    <row r="211" spans="2:11" ht="12.75">
      <c r="B211" s="6"/>
      <c r="C211" s="6"/>
      <c r="D211" s="7"/>
      <c r="E211" s="7"/>
      <c r="F211" s="8"/>
      <c r="G211" s="9"/>
      <c r="H211" s="9"/>
      <c r="I211" s="10"/>
      <c r="J211" s="6"/>
      <c r="K211" s="4"/>
    </row>
    <row r="212" spans="2:11" ht="12.75">
      <c r="B212" s="6"/>
      <c r="C212" s="6"/>
      <c r="D212" s="7"/>
      <c r="E212" s="7"/>
      <c r="F212" s="8"/>
      <c r="G212" s="9"/>
      <c r="H212" s="9"/>
      <c r="I212" s="10"/>
      <c r="J212" s="6"/>
      <c r="K212" s="4"/>
    </row>
    <row r="213" spans="2:11" ht="12.75">
      <c r="B213" s="6"/>
      <c r="C213" s="6"/>
      <c r="D213" s="7"/>
      <c r="E213" s="7"/>
      <c r="F213" s="8"/>
      <c r="G213" s="9"/>
      <c r="H213" s="9"/>
      <c r="I213" s="10"/>
      <c r="J213" s="6"/>
      <c r="K213" s="4"/>
    </row>
    <row r="214" spans="2:11" ht="12.75">
      <c r="B214" s="6"/>
      <c r="C214" s="6"/>
      <c r="D214" s="7"/>
      <c r="E214" s="7"/>
      <c r="F214" s="8"/>
      <c r="G214" s="9"/>
      <c r="H214" s="9"/>
      <c r="I214" s="10"/>
      <c r="J214" s="6"/>
      <c r="K214" s="4"/>
    </row>
    <row r="215" spans="2:11" ht="12.75">
      <c r="B215" s="6"/>
      <c r="C215" s="6"/>
      <c r="D215" s="7"/>
      <c r="E215" s="7"/>
      <c r="F215" s="8"/>
      <c r="G215" s="9"/>
      <c r="H215" s="9"/>
      <c r="I215" s="10"/>
      <c r="J215" s="6"/>
      <c r="K215" s="4"/>
    </row>
    <row r="216" spans="2:11" ht="12.75">
      <c r="B216" s="6"/>
      <c r="C216" s="6"/>
      <c r="D216" s="7"/>
      <c r="E216" s="7"/>
      <c r="F216" s="8"/>
      <c r="G216" s="9"/>
      <c r="H216" s="9"/>
      <c r="I216" s="10"/>
      <c r="J216" s="6"/>
      <c r="K216" s="4"/>
    </row>
    <row r="217" spans="2:11" ht="12.75">
      <c r="B217" s="6"/>
      <c r="C217" s="6"/>
      <c r="D217" s="7"/>
      <c r="E217" s="7"/>
      <c r="F217" s="8"/>
      <c r="G217" s="9"/>
      <c r="H217" s="9"/>
      <c r="I217" s="10"/>
      <c r="J217" s="6"/>
      <c r="K217" s="4"/>
    </row>
    <row r="218" spans="2:11" ht="12.75">
      <c r="B218" s="6"/>
      <c r="C218" s="6"/>
      <c r="D218" s="7"/>
      <c r="E218" s="7"/>
      <c r="F218" s="8"/>
      <c r="G218" s="9"/>
      <c r="H218" s="9"/>
      <c r="I218" s="10"/>
      <c r="J218" s="6"/>
      <c r="K218" s="4"/>
    </row>
    <row r="219" spans="2:11" ht="12.75">
      <c r="B219" s="6"/>
      <c r="C219" s="6"/>
      <c r="D219" s="7"/>
      <c r="E219" s="7"/>
      <c r="F219" s="8"/>
      <c r="G219" s="9"/>
      <c r="H219" s="9"/>
      <c r="I219" s="10"/>
      <c r="J219" s="6"/>
      <c r="K219" s="4"/>
    </row>
    <row r="220" spans="2:11" ht="12.75">
      <c r="B220" s="6"/>
      <c r="C220" s="6"/>
      <c r="D220" s="7"/>
      <c r="E220" s="7"/>
      <c r="F220" s="8"/>
      <c r="G220" s="9"/>
      <c r="H220" s="9"/>
      <c r="I220" s="10"/>
      <c r="J220" s="6"/>
      <c r="K220" s="4"/>
    </row>
    <row r="221" spans="2:11" ht="12.75">
      <c r="B221" s="6"/>
      <c r="C221" s="6"/>
      <c r="D221" s="7"/>
      <c r="E221" s="7"/>
      <c r="F221" s="8"/>
      <c r="G221" s="9"/>
      <c r="H221" s="9"/>
      <c r="I221" s="10"/>
      <c r="J221" s="6"/>
      <c r="K221" s="4"/>
    </row>
    <row r="222" spans="2:11" ht="12.75">
      <c r="B222" s="6"/>
      <c r="C222" s="6"/>
      <c r="D222" s="7"/>
      <c r="E222" s="7"/>
      <c r="F222" s="8"/>
      <c r="G222" s="9"/>
      <c r="H222" s="9"/>
      <c r="I222" s="10"/>
      <c r="J222" s="6"/>
      <c r="K222" s="4"/>
    </row>
    <row r="223" spans="2:11" ht="12.75">
      <c r="B223" s="6"/>
      <c r="C223" s="6"/>
      <c r="D223" s="7"/>
      <c r="E223" s="7"/>
      <c r="F223" s="8"/>
      <c r="G223" s="9"/>
      <c r="H223" s="9"/>
      <c r="I223" s="10"/>
      <c r="J223" s="6"/>
      <c r="K223" s="4"/>
    </row>
    <row r="224" spans="2:11" ht="12.75">
      <c r="B224" s="6"/>
      <c r="C224" s="6"/>
      <c r="D224" s="7"/>
      <c r="E224" s="7"/>
      <c r="F224" s="8"/>
      <c r="G224" s="9"/>
      <c r="H224" s="9"/>
      <c r="I224" s="10"/>
      <c r="J224" s="6"/>
      <c r="K224" s="4"/>
    </row>
    <row r="225" spans="2:11" ht="12.75">
      <c r="B225" s="6"/>
      <c r="C225" s="6"/>
      <c r="D225" s="7"/>
      <c r="E225" s="7"/>
      <c r="F225" s="8"/>
      <c r="G225" s="9"/>
      <c r="H225" s="9"/>
      <c r="I225" s="10"/>
      <c r="J225" s="6"/>
      <c r="K225" s="4"/>
    </row>
    <row r="226" spans="2:11" ht="12.75">
      <c r="B226" s="6"/>
      <c r="C226" s="6"/>
      <c r="D226" s="7"/>
      <c r="E226" s="7"/>
      <c r="F226" s="8"/>
      <c r="G226" s="9"/>
      <c r="H226" s="9"/>
      <c r="I226" s="10"/>
      <c r="J226" s="6"/>
      <c r="K226" s="4"/>
    </row>
    <row r="227" spans="2:11" ht="12.75">
      <c r="B227" s="6"/>
      <c r="C227" s="6"/>
      <c r="D227" s="7"/>
      <c r="E227" s="7"/>
      <c r="F227" s="8"/>
      <c r="G227" s="9"/>
      <c r="H227" s="9"/>
      <c r="I227" s="10"/>
      <c r="J227" s="6"/>
      <c r="K227" s="4"/>
    </row>
    <row r="228" spans="2:11" ht="12.75">
      <c r="B228" s="6"/>
      <c r="C228" s="6"/>
      <c r="D228" s="7"/>
      <c r="E228" s="7"/>
      <c r="F228" s="8"/>
      <c r="G228" s="9"/>
      <c r="H228" s="9"/>
      <c r="I228" s="10"/>
      <c r="J228" s="6"/>
      <c r="K228" s="4"/>
    </row>
    <row r="229" spans="2:11" ht="12.75">
      <c r="B229" s="6"/>
      <c r="C229" s="6"/>
      <c r="D229" s="7"/>
      <c r="E229" s="7"/>
      <c r="F229" s="8"/>
      <c r="G229" s="9"/>
      <c r="H229" s="9"/>
      <c r="I229" s="10"/>
      <c r="J229" s="6"/>
      <c r="K229" s="4"/>
    </row>
    <row r="230" spans="2:11" ht="12.75">
      <c r="B230" s="6"/>
      <c r="C230" s="6"/>
      <c r="D230" s="7"/>
      <c r="E230" s="7"/>
      <c r="F230" s="8"/>
      <c r="G230" s="9"/>
      <c r="H230" s="9"/>
      <c r="I230" s="10"/>
      <c r="J230" s="6"/>
      <c r="K230" s="4"/>
    </row>
    <row r="231" spans="2:11" ht="12.75">
      <c r="B231" s="6"/>
      <c r="C231" s="6"/>
      <c r="D231" s="7"/>
      <c r="E231" s="7"/>
      <c r="F231" s="8"/>
      <c r="G231" s="9"/>
      <c r="H231" s="9"/>
      <c r="I231" s="10"/>
      <c r="J231" s="6"/>
      <c r="K231" s="4"/>
    </row>
    <row r="232" spans="2:11" ht="12.75">
      <c r="B232" s="6"/>
      <c r="C232" s="6"/>
      <c r="D232" s="7"/>
      <c r="E232" s="7"/>
      <c r="F232" s="8"/>
      <c r="G232" s="9"/>
      <c r="H232" s="9"/>
      <c r="I232" s="10"/>
      <c r="J232" s="6"/>
      <c r="K232" s="4"/>
    </row>
    <row r="233" spans="2:11" ht="12.75">
      <c r="B233" s="6"/>
      <c r="C233" s="6"/>
      <c r="D233" s="7"/>
      <c r="E233" s="7"/>
      <c r="F233" s="8"/>
      <c r="G233" s="9"/>
      <c r="H233" s="9"/>
      <c r="I233" s="10"/>
      <c r="J233" s="6"/>
      <c r="K233" s="4"/>
    </row>
    <row r="234" spans="2:11" ht="12.75">
      <c r="B234" s="6"/>
      <c r="C234" s="6"/>
      <c r="D234" s="7"/>
      <c r="E234" s="7"/>
      <c r="F234" s="8"/>
      <c r="G234" s="9"/>
      <c r="H234" s="9"/>
      <c r="I234" s="10"/>
      <c r="J234" s="6"/>
      <c r="K234" s="4"/>
    </row>
    <row r="235" spans="2:11" ht="12.75">
      <c r="B235" s="6"/>
      <c r="C235" s="6"/>
      <c r="D235" s="7"/>
      <c r="E235" s="7"/>
      <c r="F235" s="8"/>
      <c r="G235" s="9"/>
      <c r="H235" s="9"/>
      <c r="I235" s="10"/>
      <c r="J235" s="6"/>
      <c r="K235" s="4"/>
    </row>
    <row r="236" spans="2:11" ht="12.75">
      <c r="B236" s="6"/>
      <c r="C236" s="6"/>
      <c r="D236" s="7"/>
      <c r="E236" s="7"/>
      <c r="F236" s="8"/>
      <c r="G236" s="9"/>
      <c r="H236" s="9"/>
      <c r="I236" s="10"/>
      <c r="J236" s="6"/>
      <c r="K236" s="4"/>
    </row>
    <row r="237" spans="2:11" ht="12.75">
      <c r="B237" s="6"/>
      <c r="C237" s="6"/>
      <c r="D237" s="7"/>
      <c r="E237" s="7"/>
      <c r="F237" s="8"/>
      <c r="G237" s="9"/>
      <c r="H237" s="9"/>
      <c r="I237" s="10"/>
      <c r="J237" s="6"/>
      <c r="K237" s="4"/>
    </row>
    <row r="238" spans="2:11" ht="12.75">
      <c r="B238" s="6"/>
      <c r="C238" s="6"/>
      <c r="D238" s="7"/>
      <c r="E238" s="7"/>
      <c r="F238" s="8"/>
      <c r="G238" s="9"/>
      <c r="H238" s="9"/>
      <c r="I238" s="10"/>
      <c r="J238" s="6"/>
      <c r="K238" s="4"/>
    </row>
    <row r="239" spans="2:11" ht="12.75">
      <c r="B239" s="6"/>
      <c r="C239" s="6"/>
      <c r="D239" s="7"/>
      <c r="E239" s="7"/>
      <c r="F239" s="8"/>
      <c r="G239" s="9"/>
      <c r="H239" s="9"/>
      <c r="I239" s="10"/>
      <c r="J239" s="6"/>
      <c r="K239" s="4"/>
    </row>
    <row r="240" spans="2:11" ht="12.75">
      <c r="B240" s="6"/>
      <c r="C240" s="6"/>
      <c r="D240" s="7"/>
      <c r="E240" s="7"/>
      <c r="F240" s="8"/>
      <c r="G240" s="9"/>
      <c r="H240" s="9"/>
      <c r="I240" s="10"/>
      <c r="J240" s="6"/>
      <c r="K240" s="4"/>
    </row>
    <row r="241" spans="2:11" ht="12.75">
      <c r="B241" s="6"/>
      <c r="C241" s="6"/>
      <c r="D241" s="7"/>
      <c r="E241" s="7"/>
      <c r="F241" s="8"/>
      <c r="G241" s="9"/>
      <c r="H241" s="9"/>
      <c r="I241" s="10"/>
      <c r="J241" s="6"/>
      <c r="K241" s="4"/>
    </row>
    <row r="242" spans="2:11" ht="12.75">
      <c r="B242" s="6"/>
      <c r="C242" s="6"/>
      <c r="D242" s="7"/>
      <c r="E242" s="7"/>
      <c r="F242" s="8"/>
      <c r="G242" s="9"/>
      <c r="H242" s="9"/>
      <c r="I242" s="10"/>
      <c r="J242" s="6"/>
      <c r="K242" s="4"/>
    </row>
    <row r="243" spans="2:11" ht="12.75">
      <c r="B243" s="6"/>
      <c r="C243" s="6"/>
      <c r="D243" s="7"/>
      <c r="E243" s="7"/>
      <c r="F243" s="8"/>
      <c r="G243" s="9"/>
      <c r="H243" s="9"/>
      <c r="I243" s="10"/>
      <c r="J243" s="6"/>
      <c r="K243" s="4"/>
    </row>
    <row r="244" spans="2:11" ht="12.75">
      <c r="B244" s="6"/>
      <c r="C244" s="6"/>
      <c r="D244" s="7"/>
      <c r="E244" s="7"/>
      <c r="F244" s="8"/>
      <c r="G244" s="9"/>
      <c r="H244" s="9"/>
      <c r="I244" s="10"/>
      <c r="J244" s="6"/>
      <c r="K244" s="4"/>
    </row>
    <row r="245" spans="2:11" ht="12.75">
      <c r="B245" s="6"/>
      <c r="C245" s="6"/>
      <c r="D245" s="7"/>
      <c r="E245" s="7"/>
      <c r="F245" s="8"/>
      <c r="G245" s="9"/>
      <c r="H245" s="9"/>
      <c r="I245" s="10"/>
      <c r="J245" s="6"/>
      <c r="K245" s="4"/>
    </row>
    <row r="246" spans="2:11" ht="12.75">
      <c r="B246" s="6"/>
      <c r="C246" s="6"/>
      <c r="D246" s="7"/>
      <c r="E246" s="7"/>
      <c r="F246" s="8"/>
      <c r="G246" s="9"/>
      <c r="H246" s="9"/>
      <c r="I246" s="10"/>
      <c r="J246" s="6"/>
      <c r="K246" s="4"/>
    </row>
    <row r="247" spans="2:11" ht="12.75">
      <c r="B247" s="6"/>
      <c r="C247" s="6"/>
      <c r="D247" s="7"/>
      <c r="E247" s="7"/>
      <c r="F247" s="8"/>
      <c r="G247" s="9"/>
      <c r="H247" s="9"/>
      <c r="I247" s="10"/>
      <c r="J247" s="6"/>
      <c r="K247" s="4"/>
    </row>
    <row r="248" spans="2:11" ht="12.75">
      <c r="B248" s="6"/>
      <c r="C248" s="6"/>
      <c r="D248" s="7"/>
      <c r="E248" s="7"/>
      <c r="F248" s="8"/>
      <c r="G248" s="9"/>
      <c r="H248" s="9"/>
      <c r="I248" s="10"/>
      <c r="J248" s="6"/>
      <c r="K248" s="4"/>
    </row>
    <row r="249" spans="2:11" ht="12.75">
      <c r="B249" s="6"/>
      <c r="C249" s="6"/>
      <c r="D249" s="7"/>
      <c r="E249" s="7"/>
      <c r="F249" s="8"/>
      <c r="G249" s="9"/>
      <c r="H249" s="9"/>
      <c r="I249" s="10"/>
      <c r="J249" s="6"/>
      <c r="K249" s="4"/>
    </row>
    <row r="250" spans="2:11" ht="12.75">
      <c r="B250" s="6"/>
      <c r="C250" s="6"/>
      <c r="D250" s="7"/>
      <c r="E250" s="7"/>
      <c r="F250" s="8"/>
      <c r="G250" s="9"/>
      <c r="H250" s="9"/>
      <c r="I250" s="10"/>
      <c r="J250" s="6"/>
      <c r="K250" s="4"/>
    </row>
    <row r="251" spans="2:11" ht="12.75">
      <c r="B251" s="6"/>
      <c r="C251" s="6"/>
      <c r="D251" s="7"/>
      <c r="E251" s="7"/>
      <c r="F251" s="8"/>
      <c r="G251" s="9"/>
      <c r="H251" s="9"/>
      <c r="I251" s="10"/>
      <c r="J251" s="6"/>
      <c r="K251" s="4"/>
    </row>
    <row r="252" spans="2:11" ht="12.75">
      <c r="B252" s="6"/>
      <c r="C252" s="6"/>
      <c r="D252" s="7"/>
      <c r="E252" s="7"/>
      <c r="F252" s="8"/>
      <c r="G252" s="9"/>
      <c r="H252" s="9"/>
      <c r="I252" s="10"/>
      <c r="J252" s="6"/>
      <c r="K252" s="4"/>
    </row>
    <row r="253" spans="2:11" ht="12.75">
      <c r="B253" s="6"/>
      <c r="C253" s="6"/>
      <c r="D253" s="7"/>
      <c r="E253" s="7"/>
      <c r="F253" s="8"/>
      <c r="G253" s="9"/>
      <c r="H253" s="9"/>
      <c r="I253" s="10"/>
      <c r="J253" s="6"/>
      <c r="K253" s="4"/>
    </row>
    <row r="254" spans="2:11" ht="12.75">
      <c r="B254" s="6"/>
      <c r="C254" s="6"/>
      <c r="D254" s="7"/>
      <c r="E254" s="7"/>
      <c r="F254" s="8"/>
      <c r="G254" s="9"/>
      <c r="H254" s="9"/>
      <c r="I254" s="10"/>
      <c r="J254" s="6"/>
      <c r="K254" s="4"/>
    </row>
    <row r="255" spans="2:11" ht="12.75">
      <c r="B255" s="6"/>
      <c r="C255" s="6"/>
      <c r="D255" s="7"/>
      <c r="E255" s="7"/>
      <c r="F255" s="8"/>
      <c r="G255" s="9"/>
      <c r="H255" s="9"/>
      <c r="I255" s="10"/>
      <c r="J255" s="6"/>
      <c r="K255" s="4"/>
    </row>
    <row r="256" spans="2:11" ht="12.75">
      <c r="B256" s="6"/>
      <c r="C256" s="6"/>
      <c r="D256" s="7"/>
      <c r="E256" s="7"/>
      <c r="F256" s="8"/>
      <c r="G256" s="9"/>
      <c r="H256" s="9"/>
      <c r="I256" s="10"/>
      <c r="J256" s="6"/>
      <c r="K256" s="4"/>
    </row>
    <row r="257" spans="2:11" ht="12.75">
      <c r="B257" s="6"/>
      <c r="C257" s="6"/>
      <c r="D257" s="7"/>
      <c r="E257" s="7"/>
      <c r="F257" s="8"/>
      <c r="G257" s="9"/>
      <c r="H257" s="9"/>
      <c r="I257" s="10"/>
      <c r="J257" s="6"/>
      <c r="K257" s="4"/>
    </row>
    <row r="258" spans="2:11" ht="12.75">
      <c r="B258" s="6"/>
      <c r="C258" s="6"/>
      <c r="D258" s="7"/>
      <c r="E258" s="7"/>
      <c r="F258" s="8"/>
      <c r="G258" s="9"/>
      <c r="H258" s="9"/>
      <c r="I258" s="10"/>
      <c r="J258" s="6"/>
      <c r="K258" s="4"/>
    </row>
    <row r="259" spans="2:11" ht="12.75">
      <c r="B259" s="6"/>
      <c r="C259" s="6"/>
      <c r="D259" s="7"/>
      <c r="E259" s="7"/>
      <c r="F259" s="8"/>
      <c r="G259" s="9"/>
      <c r="H259" s="9"/>
      <c r="I259" s="10"/>
      <c r="J259" s="6"/>
      <c r="K259" s="4"/>
    </row>
    <row r="260" spans="2:11" ht="12.75">
      <c r="B260" s="6"/>
      <c r="C260" s="6"/>
      <c r="D260" s="7"/>
      <c r="E260" s="7"/>
      <c r="F260" s="8"/>
      <c r="G260" s="9"/>
      <c r="H260" s="9"/>
      <c r="I260" s="10"/>
      <c r="J260" s="6"/>
      <c r="K260" s="4"/>
    </row>
    <row r="261" spans="2:11" ht="12.75">
      <c r="B261" s="6"/>
      <c r="C261" s="6"/>
      <c r="D261" s="7"/>
      <c r="E261" s="7"/>
      <c r="F261" s="8"/>
      <c r="G261" s="9"/>
      <c r="H261" s="9"/>
      <c r="I261" s="10"/>
      <c r="J261" s="6"/>
      <c r="K261" s="4"/>
    </row>
    <row r="262" spans="2:11" ht="12.75">
      <c r="B262" s="6"/>
      <c r="C262" s="6"/>
      <c r="D262" s="7"/>
      <c r="E262" s="7"/>
      <c r="F262" s="8"/>
      <c r="G262" s="9"/>
      <c r="H262" s="9"/>
      <c r="I262" s="10"/>
      <c r="J262" s="6"/>
      <c r="K262" s="4"/>
    </row>
    <row r="263" spans="2:11" ht="12.75">
      <c r="B263" s="6"/>
      <c r="C263" s="6"/>
      <c r="D263" s="7"/>
      <c r="E263" s="7"/>
      <c r="F263" s="8"/>
      <c r="G263" s="9"/>
      <c r="H263" s="9"/>
      <c r="I263" s="10"/>
      <c r="J263" s="6"/>
      <c r="K263" s="4"/>
    </row>
    <row r="264" spans="2:11" ht="12.75">
      <c r="B264" s="6"/>
      <c r="C264" s="6"/>
      <c r="D264" s="7"/>
      <c r="E264" s="7"/>
      <c r="F264" s="8"/>
      <c r="G264" s="9"/>
      <c r="H264" s="9"/>
      <c r="I264" s="10"/>
      <c r="J264" s="6"/>
      <c r="K264" s="4"/>
    </row>
    <row r="265" spans="2:11" ht="12.75">
      <c r="B265" s="6"/>
      <c r="C265" s="6"/>
      <c r="D265" s="7"/>
      <c r="E265" s="7"/>
      <c r="F265" s="8"/>
      <c r="G265" s="9"/>
      <c r="H265" s="9"/>
      <c r="I265" s="10"/>
      <c r="J265" s="6"/>
      <c r="K265" s="4"/>
    </row>
    <row r="266" spans="2:11" ht="12.75">
      <c r="B266" s="6"/>
      <c r="C266" s="6"/>
      <c r="D266" s="7"/>
      <c r="E266" s="7"/>
      <c r="F266" s="8"/>
      <c r="G266" s="9"/>
      <c r="H266" s="9"/>
      <c r="I266" s="10"/>
      <c r="J266" s="6"/>
      <c r="K266" s="4"/>
    </row>
    <row r="267" spans="2:11" ht="12.75">
      <c r="B267" s="6"/>
      <c r="C267" s="6"/>
      <c r="D267" s="7"/>
      <c r="E267" s="7"/>
      <c r="F267" s="8"/>
      <c r="G267" s="9"/>
      <c r="H267" s="9"/>
      <c r="I267" s="10"/>
      <c r="J267" s="6"/>
      <c r="K267" s="4"/>
    </row>
    <row r="268" spans="2:11" ht="12.75">
      <c r="B268" s="6"/>
      <c r="C268" s="6"/>
      <c r="D268" s="7"/>
      <c r="E268" s="7"/>
      <c r="F268" s="8"/>
      <c r="G268" s="9"/>
      <c r="H268" s="9"/>
      <c r="I268" s="10"/>
      <c r="J268" s="6"/>
      <c r="K268" s="4"/>
    </row>
    <row r="269" spans="2:11" ht="12.75">
      <c r="B269" s="6"/>
      <c r="C269" s="6"/>
      <c r="D269" s="7"/>
      <c r="E269" s="7"/>
      <c r="F269" s="8"/>
      <c r="G269" s="9"/>
      <c r="H269" s="9"/>
      <c r="I269" s="10"/>
      <c r="J269" s="6"/>
      <c r="K269" s="4"/>
    </row>
    <row r="270" spans="2:11" ht="12.75">
      <c r="B270" s="6"/>
      <c r="C270" s="6"/>
      <c r="D270" s="7"/>
      <c r="E270" s="7"/>
      <c r="F270" s="8"/>
      <c r="G270" s="9"/>
      <c r="H270" s="9"/>
      <c r="I270" s="10"/>
      <c r="J270" s="6"/>
      <c r="K270" s="4"/>
    </row>
    <row r="271" spans="2:11" ht="12.75">
      <c r="B271" s="6"/>
      <c r="C271" s="6"/>
      <c r="D271" s="7"/>
      <c r="E271" s="7"/>
      <c r="F271" s="8"/>
      <c r="G271" s="9"/>
      <c r="H271" s="9"/>
      <c r="I271" s="10"/>
      <c r="J271" s="6"/>
      <c r="K271" s="4"/>
    </row>
    <row r="272" spans="2:11" ht="12.75">
      <c r="B272" s="6"/>
      <c r="C272" s="6"/>
      <c r="D272" s="7"/>
      <c r="E272" s="7"/>
      <c r="F272" s="8"/>
      <c r="G272" s="9"/>
      <c r="H272" s="9"/>
      <c r="I272" s="10"/>
      <c r="J272" s="6"/>
      <c r="K272" s="4"/>
    </row>
    <row r="273" spans="2:11" ht="12.75">
      <c r="B273" s="6"/>
      <c r="C273" s="6"/>
      <c r="D273" s="7"/>
      <c r="E273" s="7"/>
      <c r="F273" s="8"/>
      <c r="G273" s="9"/>
      <c r="H273" s="9"/>
      <c r="I273" s="10"/>
      <c r="J273" s="6"/>
      <c r="K273" s="4"/>
    </row>
    <row r="274" spans="2:11" ht="12.75">
      <c r="B274" s="6"/>
      <c r="C274" s="6"/>
      <c r="D274" s="7"/>
      <c r="E274" s="7"/>
      <c r="F274" s="8"/>
      <c r="G274" s="9"/>
      <c r="H274" s="9"/>
      <c r="I274" s="10"/>
      <c r="J274" s="6"/>
      <c r="K274" s="4"/>
    </row>
    <row r="275" spans="2:11" ht="12.75">
      <c r="B275" s="6"/>
      <c r="C275" s="6"/>
      <c r="D275" s="7"/>
      <c r="E275" s="7"/>
      <c r="F275" s="8"/>
      <c r="G275" s="9"/>
      <c r="H275" s="9"/>
      <c r="I275" s="10"/>
      <c r="J275" s="6"/>
      <c r="K275" s="4"/>
    </row>
    <row r="276" spans="2:11" ht="12.75">
      <c r="B276" s="6"/>
      <c r="C276" s="6"/>
      <c r="D276" s="7"/>
      <c r="E276" s="7"/>
      <c r="F276" s="8"/>
      <c r="G276" s="9"/>
      <c r="H276" s="9"/>
      <c r="I276" s="10"/>
      <c r="J276" s="6"/>
      <c r="K276" s="4"/>
    </row>
    <row r="277" spans="2:11" ht="12.75">
      <c r="B277" s="6"/>
      <c r="C277" s="6"/>
      <c r="D277" s="7"/>
      <c r="E277" s="7"/>
      <c r="F277" s="8"/>
      <c r="G277" s="9"/>
      <c r="H277" s="9"/>
      <c r="I277" s="10"/>
      <c r="J277" s="6"/>
      <c r="K277" s="4"/>
    </row>
    <row r="278" spans="2:11" ht="12.75">
      <c r="B278" s="6"/>
      <c r="C278" s="6"/>
      <c r="D278" s="7"/>
      <c r="E278" s="7"/>
      <c r="F278" s="8"/>
      <c r="G278" s="9"/>
      <c r="H278" s="9"/>
      <c r="I278" s="10"/>
      <c r="J278" s="6"/>
      <c r="K278" s="4"/>
    </row>
    <row r="279" spans="2:11" ht="12.75">
      <c r="B279" s="6"/>
      <c r="C279" s="6"/>
      <c r="D279" s="7"/>
      <c r="E279" s="7"/>
      <c r="F279" s="8"/>
      <c r="G279" s="9"/>
      <c r="H279" s="9"/>
      <c r="I279" s="10"/>
      <c r="J279" s="6"/>
      <c r="K279" s="4"/>
    </row>
    <row r="280" spans="2:11" ht="12.75">
      <c r="B280" s="6"/>
      <c r="C280" s="6"/>
      <c r="D280" s="7"/>
      <c r="E280" s="7"/>
      <c r="F280" s="8"/>
      <c r="G280" s="9"/>
      <c r="H280" s="9"/>
      <c r="I280" s="10"/>
      <c r="J280" s="6"/>
      <c r="K280" s="4"/>
    </row>
    <row r="281" spans="2:11" ht="12.75">
      <c r="B281" s="6"/>
      <c r="C281" s="6"/>
      <c r="D281" s="7"/>
      <c r="E281" s="7"/>
      <c r="F281" s="8"/>
      <c r="G281" s="9"/>
      <c r="H281" s="9"/>
      <c r="I281" s="10"/>
      <c r="J281" s="6"/>
      <c r="K281" s="4"/>
    </row>
    <row r="282" spans="2:11" ht="12.75">
      <c r="B282" s="6"/>
      <c r="C282" s="6"/>
      <c r="D282" s="7"/>
      <c r="E282" s="7"/>
      <c r="F282" s="8"/>
      <c r="G282" s="9"/>
      <c r="H282" s="9"/>
      <c r="I282" s="10"/>
      <c r="J282" s="6"/>
      <c r="K282" s="4"/>
    </row>
    <row r="283" spans="2:11" ht="12.75">
      <c r="B283" s="6"/>
      <c r="C283" s="6"/>
      <c r="D283" s="7"/>
      <c r="E283" s="7"/>
      <c r="F283" s="8"/>
      <c r="G283" s="9"/>
      <c r="H283" s="9"/>
      <c r="I283" s="10"/>
      <c r="J283" s="6"/>
      <c r="K283" s="4"/>
    </row>
    <row r="284" spans="2:11" ht="12.75">
      <c r="B284" s="6"/>
      <c r="C284" s="6"/>
      <c r="D284" s="7"/>
      <c r="E284" s="7"/>
      <c r="F284" s="8"/>
      <c r="G284" s="9"/>
      <c r="H284" s="9"/>
      <c r="I284" s="10"/>
      <c r="J284" s="6"/>
      <c r="K284" s="4"/>
    </row>
    <row r="285" spans="2:11" ht="12.75">
      <c r="B285" s="6"/>
      <c r="C285" s="6"/>
      <c r="D285" s="7"/>
      <c r="E285" s="7"/>
      <c r="F285" s="8"/>
      <c r="G285" s="9"/>
      <c r="H285" s="9"/>
      <c r="I285" s="10"/>
      <c r="J285" s="6"/>
      <c r="K285" s="4"/>
    </row>
    <row r="286" spans="2:11" ht="12.75">
      <c r="B286" s="6"/>
      <c r="C286" s="6"/>
      <c r="D286" s="7"/>
      <c r="E286" s="7"/>
      <c r="F286" s="8"/>
      <c r="G286" s="9"/>
      <c r="H286" s="9"/>
      <c r="I286" s="10"/>
      <c r="J286" s="6"/>
      <c r="K286" s="4"/>
    </row>
    <row r="287" spans="2:11" ht="12.75">
      <c r="B287" s="6"/>
      <c r="C287" s="6"/>
      <c r="D287" s="7"/>
      <c r="E287" s="7"/>
      <c r="F287" s="8"/>
      <c r="G287" s="9"/>
      <c r="H287" s="9"/>
      <c r="I287" s="10"/>
      <c r="J287" s="6"/>
      <c r="K287" s="4"/>
    </row>
    <row r="288" spans="2:11" ht="12.75">
      <c r="B288" s="6"/>
      <c r="C288" s="6"/>
      <c r="D288" s="7"/>
      <c r="E288" s="7"/>
      <c r="F288" s="8"/>
      <c r="G288" s="9"/>
      <c r="H288" s="9"/>
      <c r="I288" s="10"/>
      <c r="J288" s="6"/>
      <c r="K288" s="4"/>
    </row>
    <row r="289" spans="2:11" ht="12.75">
      <c r="B289" s="6"/>
      <c r="C289" s="6"/>
      <c r="D289" s="7"/>
      <c r="E289" s="7"/>
      <c r="F289" s="8"/>
      <c r="G289" s="9"/>
      <c r="H289" s="9"/>
      <c r="I289" s="10"/>
      <c r="J289" s="6"/>
      <c r="K289" s="4"/>
    </row>
    <row r="290" spans="2:11" ht="12.75">
      <c r="B290" s="6"/>
      <c r="C290" s="6"/>
      <c r="D290" s="7"/>
      <c r="E290" s="7"/>
      <c r="F290" s="8"/>
      <c r="G290" s="9"/>
      <c r="H290" s="9"/>
      <c r="I290" s="10"/>
      <c r="J290" s="6"/>
      <c r="K290" s="4"/>
    </row>
    <row r="291" spans="2:11" ht="12.75">
      <c r="B291" s="6"/>
      <c r="C291" s="6"/>
      <c r="D291" s="7"/>
      <c r="E291" s="7"/>
      <c r="F291" s="8"/>
      <c r="G291" s="9"/>
      <c r="H291" s="9"/>
      <c r="I291" s="10"/>
      <c r="J291" s="6"/>
      <c r="K291" s="4"/>
    </row>
    <row r="292" spans="2:11" ht="12.75">
      <c r="B292" s="6"/>
      <c r="C292" s="6"/>
      <c r="D292" s="7"/>
      <c r="E292" s="7"/>
      <c r="F292" s="8"/>
      <c r="G292" s="9"/>
      <c r="H292" s="9"/>
      <c r="I292" s="10"/>
      <c r="J292" s="6"/>
      <c r="K292" s="4"/>
    </row>
    <row r="293" spans="2:11" ht="12.75">
      <c r="B293" s="6"/>
      <c r="C293" s="6"/>
      <c r="D293" s="7"/>
      <c r="E293" s="7"/>
      <c r="F293" s="8"/>
      <c r="G293" s="9"/>
      <c r="H293" s="9"/>
      <c r="I293" s="10"/>
      <c r="J293" s="6"/>
      <c r="K293" s="4"/>
    </row>
    <row r="294" spans="2:11" ht="12.75">
      <c r="B294" s="6"/>
      <c r="C294" s="6"/>
      <c r="D294" s="7"/>
      <c r="E294" s="7"/>
      <c r="F294" s="8"/>
      <c r="G294" s="9"/>
      <c r="H294" s="9"/>
      <c r="I294" s="10"/>
      <c r="J294" s="6"/>
      <c r="K294" s="4"/>
    </row>
    <row r="295" spans="2:11" ht="12.75">
      <c r="B295" s="6"/>
      <c r="C295" s="6"/>
      <c r="D295" s="7"/>
      <c r="E295" s="7"/>
      <c r="F295" s="8"/>
      <c r="G295" s="9"/>
      <c r="H295" s="9"/>
      <c r="I295" s="10"/>
      <c r="J295" s="6"/>
      <c r="K295" s="4"/>
    </row>
    <row r="296" spans="2:11" ht="12.75">
      <c r="B296" s="6"/>
      <c r="C296" s="6"/>
      <c r="D296" s="7"/>
      <c r="E296" s="7"/>
      <c r="F296" s="8"/>
      <c r="G296" s="9"/>
      <c r="H296" s="9"/>
      <c r="I296" s="10"/>
      <c r="J296" s="6"/>
      <c r="K296" s="4"/>
    </row>
    <row r="297" spans="2:11" ht="12.75">
      <c r="B297" s="6"/>
      <c r="C297" s="6"/>
      <c r="D297" s="7"/>
      <c r="E297" s="7"/>
      <c r="F297" s="8"/>
      <c r="G297" s="9"/>
      <c r="H297" s="9"/>
      <c r="I297" s="10"/>
      <c r="J297" s="6"/>
      <c r="K297" s="4"/>
    </row>
    <row r="298" spans="2:11" ht="12.75">
      <c r="B298" s="6"/>
      <c r="C298" s="6"/>
      <c r="D298" s="7"/>
      <c r="E298" s="7"/>
      <c r="F298" s="8"/>
      <c r="G298" s="9"/>
      <c r="H298" s="9"/>
      <c r="I298" s="10"/>
      <c r="J298" s="6"/>
      <c r="K298" s="4"/>
    </row>
    <row r="299" spans="2:11" ht="12.75">
      <c r="B299" s="6"/>
      <c r="C299" s="6"/>
      <c r="D299" s="7"/>
      <c r="E299" s="7"/>
      <c r="F299" s="8"/>
      <c r="G299" s="9"/>
      <c r="H299" s="9"/>
      <c r="I299" s="10"/>
      <c r="J299" s="6"/>
      <c r="K299" s="4"/>
    </row>
    <row r="300" spans="2:11" ht="12.75">
      <c r="B300" s="6"/>
      <c r="C300" s="6"/>
      <c r="D300" s="7"/>
      <c r="E300" s="7"/>
      <c r="F300" s="8"/>
      <c r="G300" s="9"/>
      <c r="H300" s="9"/>
      <c r="I300" s="10"/>
      <c r="J300" s="6"/>
      <c r="K300" s="4"/>
    </row>
    <row r="301" spans="2:11" ht="12.75">
      <c r="B301" s="6"/>
      <c r="C301" s="6"/>
      <c r="D301" s="7"/>
      <c r="E301" s="7"/>
      <c r="F301" s="8"/>
      <c r="G301" s="9"/>
      <c r="H301" s="9"/>
      <c r="I301" s="10"/>
      <c r="J301" s="6"/>
      <c r="K301" s="4"/>
    </row>
    <row r="302" spans="2:11" ht="12.75">
      <c r="B302" s="6"/>
      <c r="C302" s="6"/>
      <c r="D302" s="7"/>
      <c r="E302" s="7"/>
      <c r="F302" s="8"/>
      <c r="G302" s="9"/>
      <c r="H302" s="9"/>
      <c r="I302" s="10"/>
      <c r="J302" s="6"/>
      <c r="K302" s="4"/>
    </row>
    <row r="303" spans="2:11" ht="12.75">
      <c r="B303" s="6"/>
      <c r="C303" s="6"/>
      <c r="D303" s="7"/>
      <c r="E303" s="7"/>
      <c r="F303" s="8"/>
      <c r="G303" s="9"/>
      <c r="H303" s="9"/>
      <c r="I303" s="10"/>
      <c r="J303" s="6"/>
      <c r="K303" s="4"/>
    </row>
    <row r="304" spans="2:11" ht="12.75">
      <c r="B304" s="6"/>
      <c r="C304" s="6"/>
      <c r="D304" s="7"/>
      <c r="E304" s="7"/>
      <c r="F304" s="8"/>
      <c r="G304" s="9"/>
      <c r="H304" s="9"/>
      <c r="I304" s="10"/>
      <c r="J304" s="6"/>
      <c r="K304" s="4"/>
    </row>
    <row r="305" spans="2:11" ht="12.75">
      <c r="B305" s="6"/>
      <c r="C305" s="6"/>
      <c r="D305" s="7"/>
      <c r="E305" s="7"/>
      <c r="F305" s="8"/>
      <c r="G305" s="9"/>
      <c r="H305" s="9"/>
      <c r="I305" s="10"/>
      <c r="J305" s="6"/>
      <c r="K305" s="4"/>
    </row>
    <row r="306" spans="2:11" ht="12.75">
      <c r="B306" s="6"/>
      <c r="C306" s="6"/>
      <c r="D306" s="7"/>
      <c r="E306" s="7"/>
      <c r="F306" s="8"/>
      <c r="G306" s="9"/>
      <c r="H306" s="9"/>
      <c r="I306" s="10"/>
      <c r="J306" s="6"/>
      <c r="K306" s="4"/>
    </row>
    <row r="307" spans="2:11" ht="12.75">
      <c r="B307" s="6"/>
      <c r="C307" s="6"/>
      <c r="D307" s="7"/>
      <c r="E307" s="7"/>
      <c r="F307" s="8"/>
      <c r="G307" s="9"/>
      <c r="H307" s="9"/>
      <c r="I307" s="10"/>
      <c r="J307" s="6"/>
      <c r="K307" s="4"/>
    </row>
    <row r="308" spans="2:11" ht="12.75">
      <c r="B308" s="6"/>
      <c r="C308" s="6"/>
      <c r="D308" s="7"/>
      <c r="E308" s="7"/>
      <c r="F308" s="8"/>
      <c r="G308" s="9"/>
      <c r="H308" s="9"/>
      <c r="I308" s="10"/>
      <c r="J308" s="6"/>
      <c r="K308" s="4"/>
    </row>
    <row r="309" spans="2:11" ht="12.75">
      <c r="B309" s="6"/>
      <c r="C309" s="6"/>
      <c r="D309" s="7"/>
      <c r="E309" s="7"/>
      <c r="F309" s="8"/>
      <c r="G309" s="9"/>
      <c r="H309" s="9"/>
      <c r="I309" s="10"/>
      <c r="J309" s="6"/>
      <c r="K309" s="4"/>
    </row>
    <row r="310" spans="2:11" ht="12.75">
      <c r="B310" s="6"/>
      <c r="C310" s="6"/>
      <c r="D310" s="7"/>
      <c r="E310" s="7"/>
      <c r="F310" s="8"/>
      <c r="G310" s="9"/>
      <c r="H310" s="9"/>
      <c r="I310" s="10"/>
      <c r="J310" s="6"/>
      <c r="K310" s="4"/>
    </row>
    <row r="311" spans="2:11" ht="12.75">
      <c r="B311" s="6"/>
      <c r="C311" s="6"/>
      <c r="D311" s="7"/>
      <c r="E311" s="7"/>
      <c r="F311" s="8"/>
      <c r="G311" s="9"/>
      <c r="H311" s="9"/>
      <c r="I311" s="10"/>
      <c r="J311" s="6"/>
      <c r="K311" s="4"/>
    </row>
    <row r="312" spans="2:11" ht="12.75">
      <c r="B312" s="6"/>
      <c r="C312" s="6"/>
      <c r="D312" s="7"/>
      <c r="E312" s="7"/>
      <c r="F312" s="8"/>
      <c r="G312" s="9"/>
      <c r="H312" s="9"/>
      <c r="I312" s="10"/>
      <c r="J312" s="6"/>
      <c r="K312" s="4"/>
    </row>
    <row r="313" spans="2:11" ht="12.75">
      <c r="B313" s="6"/>
      <c r="C313" s="6"/>
      <c r="D313" s="7"/>
      <c r="E313" s="7"/>
      <c r="F313" s="8"/>
      <c r="G313" s="9"/>
      <c r="H313" s="9"/>
      <c r="I313" s="10"/>
      <c r="J313" s="6"/>
      <c r="K313" s="4"/>
    </row>
    <row r="314" spans="2:11" ht="12.75">
      <c r="B314" s="6"/>
      <c r="C314" s="6"/>
      <c r="D314" s="7"/>
      <c r="E314" s="7"/>
      <c r="F314" s="8"/>
      <c r="G314" s="9"/>
      <c r="H314" s="9"/>
      <c r="I314" s="10"/>
      <c r="J314" s="6"/>
      <c r="K314" s="4"/>
    </row>
    <row r="315" spans="2:11" ht="12.75">
      <c r="B315" s="6"/>
      <c r="C315" s="6"/>
      <c r="D315" s="7"/>
      <c r="E315" s="7"/>
      <c r="F315" s="8"/>
      <c r="G315" s="9"/>
      <c r="H315" s="9"/>
      <c r="I315" s="10"/>
      <c r="J315" s="6"/>
      <c r="K315" s="4"/>
    </row>
    <row r="316" spans="2:11" ht="12.75">
      <c r="B316" s="6"/>
      <c r="C316" s="6"/>
      <c r="D316" s="7"/>
      <c r="E316" s="7"/>
      <c r="F316" s="8"/>
      <c r="G316" s="9"/>
      <c r="H316" s="9"/>
      <c r="I316" s="10"/>
      <c r="J316" s="6"/>
      <c r="K316" s="4"/>
    </row>
    <row r="317" spans="2:11" ht="12.75">
      <c r="B317" s="6"/>
      <c r="C317" s="6"/>
      <c r="D317" s="7"/>
      <c r="E317" s="7"/>
      <c r="F317" s="8"/>
      <c r="G317" s="9"/>
      <c r="H317" s="9"/>
      <c r="I317" s="10"/>
      <c r="J317" s="6"/>
      <c r="K317" s="4"/>
    </row>
    <row r="318" spans="2:11" ht="12.75">
      <c r="B318" s="6"/>
      <c r="C318" s="6"/>
      <c r="D318" s="7"/>
      <c r="E318" s="7"/>
      <c r="F318" s="8"/>
      <c r="G318" s="9"/>
      <c r="H318" s="9"/>
      <c r="I318" s="10"/>
      <c r="J318" s="6"/>
      <c r="K318" s="4"/>
    </row>
    <row r="319" spans="2:11" ht="12.75">
      <c r="B319" s="6"/>
      <c r="C319" s="6"/>
      <c r="D319" s="7"/>
      <c r="E319" s="7"/>
      <c r="F319" s="8"/>
      <c r="G319" s="9"/>
      <c r="H319" s="9"/>
      <c r="I319" s="10"/>
      <c r="J319" s="6"/>
      <c r="K319" s="4"/>
    </row>
    <row r="320" spans="2:11" ht="12.75">
      <c r="B320" s="6"/>
      <c r="C320" s="6"/>
      <c r="D320" s="7"/>
      <c r="E320" s="7"/>
      <c r="F320" s="8"/>
      <c r="G320" s="9"/>
      <c r="H320" s="9"/>
      <c r="I320" s="10"/>
      <c r="J320" s="6"/>
      <c r="K320" s="4"/>
    </row>
    <row r="321" spans="2:11" ht="12.75">
      <c r="B321" s="6"/>
      <c r="C321" s="6"/>
      <c r="D321" s="7"/>
      <c r="E321" s="7"/>
      <c r="F321" s="8"/>
      <c r="G321" s="9"/>
      <c r="H321" s="9"/>
      <c r="I321" s="10"/>
      <c r="J321" s="6"/>
      <c r="K321" s="4"/>
    </row>
    <row r="322" spans="2:11" ht="12.75">
      <c r="B322" s="6"/>
      <c r="C322" s="6"/>
      <c r="D322" s="7"/>
      <c r="E322" s="7"/>
      <c r="F322" s="8"/>
      <c r="G322" s="9"/>
      <c r="H322" s="9"/>
      <c r="I322" s="10"/>
      <c r="J322" s="6"/>
      <c r="K322" s="4"/>
    </row>
    <row r="323" spans="2:11" ht="12.75">
      <c r="B323" s="6"/>
      <c r="C323" s="6"/>
      <c r="D323" s="7"/>
      <c r="E323" s="7"/>
      <c r="F323" s="8"/>
      <c r="G323" s="9"/>
      <c r="H323" s="9"/>
      <c r="I323" s="10"/>
      <c r="J323" s="6"/>
      <c r="K323" s="4"/>
    </row>
    <row r="324" spans="2:11" ht="12.75">
      <c r="B324" s="6"/>
      <c r="C324" s="6"/>
      <c r="D324" s="7"/>
      <c r="E324" s="7"/>
      <c r="F324" s="8"/>
      <c r="G324" s="9"/>
      <c r="H324" s="9"/>
      <c r="I324" s="10"/>
      <c r="J324" s="6"/>
      <c r="K324" s="4"/>
    </row>
    <row r="325" spans="2:11" ht="12.75">
      <c r="B325" s="6"/>
      <c r="C325" s="6"/>
      <c r="D325" s="7"/>
      <c r="E325" s="7"/>
      <c r="F325" s="8"/>
      <c r="G325" s="9"/>
      <c r="H325" s="9"/>
      <c r="I325" s="10"/>
      <c r="J325" s="6"/>
      <c r="K325" s="4"/>
    </row>
    <row r="326" spans="2:11" ht="12.75">
      <c r="B326" s="6"/>
      <c r="C326" s="6"/>
      <c r="D326" s="7"/>
      <c r="E326" s="7"/>
      <c r="F326" s="8"/>
      <c r="G326" s="9"/>
      <c r="H326" s="9"/>
      <c r="I326" s="10"/>
      <c r="J326" s="6"/>
      <c r="K326" s="4"/>
    </row>
    <row r="327" spans="2:11" ht="12.75">
      <c r="B327" s="6"/>
      <c r="C327" s="6"/>
      <c r="D327" s="7"/>
      <c r="E327" s="7"/>
      <c r="F327" s="8"/>
      <c r="G327" s="9"/>
      <c r="H327" s="9"/>
      <c r="I327" s="10"/>
      <c r="J327" s="6"/>
      <c r="K327" s="4"/>
    </row>
    <row r="328" spans="2:11" ht="12.75">
      <c r="B328" s="6"/>
      <c r="C328" s="6"/>
      <c r="D328" s="7"/>
      <c r="E328" s="7"/>
      <c r="F328" s="8"/>
      <c r="G328" s="9"/>
      <c r="H328" s="9"/>
      <c r="I328" s="10"/>
      <c r="J328" s="6"/>
      <c r="K328" s="4"/>
    </row>
    <row r="329" spans="2:11" ht="12.75">
      <c r="B329" s="6"/>
      <c r="C329" s="6"/>
      <c r="D329" s="7"/>
      <c r="E329" s="7"/>
      <c r="F329" s="8"/>
      <c r="G329" s="9"/>
      <c r="H329" s="9"/>
      <c r="I329" s="10"/>
      <c r="J329" s="6"/>
      <c r="K329" s="4"/>
    </row>
    <row r="330" spans="2:11" ht="12.75">
      <c r="B330" s="6"/>
      <c r="C330" s="6"/>
      <c r="D330" s="7"/>
      <c r="E330" s="7"/>
      <c r="F330" s="8"/>
      <c r="G330" s="9"/>
      <c r="H330" s="9"/>
      <c r="I330" s="10"/>
      <c r="J330" s="6"/>
      <c r="K330" s="4"/>
    </row>
    <row r="331" spans="2:11" ht="12.75">
      <c r="B331" s="6"/>
      <c r="C331" s="6"/>
      <c r="D331" s="7"/>
      <c r="E331" s="7"/>
      <c r="F331" s="8"/>
      <c r="G331" s="9"/>
      <c r="H331" s="9"/>
      <c r="I331" s="10"/>
      <c r="J331" s="6"/>
      <c r="K331" s="4"/>
    </row>
    <row r="332" spans="2:11" ht="12.75">
      <c r="B332" s="6"/>
      <c r="C332" s="6"/>
      <c r="D332" s="7"/>
      <c r="E332" s="7"/>
      <c r="F332" s="8"/>
      <c r="G332" s="9"/>
      <c r="H332" s="9"/>
      <c r="I332" s="10"/>
      <c r="J332" s="6"/>
      <c r="K332" s="4"/>
    </row>
    <row r="333" spans="2:11" ht="12.75">
      <c r="B333" s="6"/>
      <c r="C333" s="6"/>
      <c r="D333" s="7"/>
      <c r="E333" s="7"/>
      <c r="F333" s="8"/>
      <c r="G333" s="9"/>
      <c r="H333" s="9"/>
      <c r="I333" s="10"/>
      <c r="J333" s="6"/>
      <c r="K333" s="4"/>
    </row>
    <row r="334" spans="2:11" ht="12.75">
      <c r="B334" s="6"/>
      <c r="C334" s="6"/>
      <c r="D334" s="7"/>
      <c r="E334" s="7"/>
      <c r="F334" s="8"/>
      <c r="G334" s="9"/>
      <c r="H334" s="9"/>
      <c r="I334" s="10"/>
      <c r="J334" s="6"/>
      <c r="K334" s="4"/>
    </row>
    <row r="335" spans="2:11" ht="12.75">
      <c r="B335" s="6"/>
      <c r="C335" s="6"/>
      <c r="D335" s="7"/>
      <c r="E335" s="7"/>
      <c r="F335" s="8"/>
      <c r="G335" s="9"/>
      <c r="H335" s="9"/>
      <c r="I335" s="10"/>
      <c r="J335" s="6"/>
      <c r="K335" s="4"/>
    </row>
    <row r="336" spans="2:11" ht="12.75">
      <c r="B336" s="6"/>
      <c r="C336" s="6"/>
      <c r="D336" s="7"/>
      <c r="E336" s="7"/>
      <c r="F336" s="8"/>
      <c r="G336" s="9"/>
      <c r="H336" s="9"/>
      <c r="I336" s="10"/>
      <c r="J336" s="6"/>
      <c r="K336" s="4"/>
    </row>
    <row r="337" spans="2:11" ht="12.75">
      <c r="B337" s="6"/>
      <c r="C337" s="6"/>
      <c r="D337" s="7"/>
      <c r="E337" s="7"/>
      <c r="F337" s="8"/>
      <c r="G337" s="9"/>
      <c r="H337" s="9"/>
      <c r="I337" s="10"/>
      <c r="J337" s="6"/>
      <c r="K337" s="4"/>
    </row>
    <row r="338" spans="2:11" ht="12.75">
      <c r="B338" s="6"/>
      <c r="C338" s="6"/>
      <c r="D338" s="7"/>
      <c r="E338" s="7"/>
      <c r="F338" s="8"/>
      <c r="G338" s="9"/>
      <c r="H338" s="9"/>
      <c r="I338" s="10"/>
      <c r="J338" s="6"/>
      <c r="K338" s="4"/>
    </row>
    <row r="339" spans="2:11" ht="12.75">
      <c r="B339" s="6"/>
      <c r="C339" s="6"/>
      <c r="D339" s="7"/>
      <c r="E339" s="7"/>
      <c r="F339" s="8"/>
      <c r="G339" s="9"/>
      <c r="H339" s="9"/>
      <c r="I339" s="10"/>
      <c r="J339" s="6"/>
      <c r="K339" s="4"/>
    </row>
    <row r="340" spans="2:11" ht="12.75">
      <c r="B340" s="6"/>
      <c r="C340" s="6"/>
      <c r="D340" s="7"/>
      <c r="E340" s="7"/>
      <c r="F340" s="8"/>
      <c r="G340" s="9"/>
      <c r="H340" s="9"/>
      <c r="I340" s="10"/>
      <c r="J340" s="6"/>
      <c r="K340" s="4"/>
    </row>
    <row r="341" spans="2:11" ht="12.75">
      <c r="B341" s="6"/>
      <c r="C341" s="6"/>
      <c r="D341" s="7"/>
      <c r="E341" s="7"/>
      <c r="F341" s="8"/>
      <c r="G341" s="9"/>
      <c r="H341" s="9"/>
      <c r="I341" s="10"/>
      <c r="J341" s="6"/>
      <c r="K341" s="4"/>
    </row>
    <row r="342" spans="2:11" ht="12.75">
      <c r="B342" s="6"/>
      <c r="C342" s="6"/>
      <c r="D342" s="7"/>
      <c r="E342" s="7"/>
      <c r="F342" s="8"/>
      <c r="G342" s="9"/>
      <c r="H342" s="9"/>
      <c r="I342" s="10"/>
      <c r="J342" s="6"/>
      <c r="K342" s="4"/>
    </row>
    <row r="343" spans="2:11" ht="12.75">
      <c r="B343" s="6"/>
      <c r="C343" s="6"/>
      <c r="D343" s="7"/>
      <c r="E343" s="7"/>
      <c r="F343" s="8"/>
      <c r="G343" s="9"/>
      <c r="H343" s="9"/>
      <c r="I343" s="10"/>
      <c r="J343" s="6"/>
      <c r="K343" s="4"/>
    </row>
    <row r="344" spans="2:11" ht="12.75">
      <c r="B344" s="6"/>
      <c r="C344" s="6"/>
      <c r="D344" s="7"/>
      <c r="E344" s="7"/>
      <c r="F344" s="8"/>
      <c r="G344" s="9"/>
      <c r="H344" s="9"/>
      <c r="I344" s="10"/>
      <c r="J344" s="6"/>
      <c r="K344" s="4"/>
    </row>
    <row r="345" spans="2:11" ht="12.75">
      <c r="B345" s="6"/>
      <c r="C345" s="6"/>
      <c r="D345" s="7"/>
      <c r="E345" s="7"/>
      <c r="F345" s="8"/>
      <c r="G345" s="9"/>
      <c r="H345" s="9"/>
      <c r="I345" s="10"/>
      <c r="J345" s="6"/>
      <c r="K345" s="4"/>
    </row>
    <row r="346" spans="2:11" ht="12.75">
      <c r="B346" s="6"/>
      <c r="C346" s="6"/>
      <c r="D346" s="7"/>
      <c r="E346" s="7"/>
      <c r="F346" s="8"/>
      <c r="G346" s="9"/>
      <c r="H346" s="9"/>
      <c r="I346" s="10"/>
      <c r="J346" s="6"/>
      <c r="K346" s="4"/>
    </row>
    <row r="347" spans="2:11" ht="12.75">
      <c r="B347" s="6"/>
      <c r="C347" s="6"/>
      <c r="D347" s="7"/>
      <c r="E347" s="7"/>
      <c r="F347" s="8"/>
      <c r="G347" s="9"/>
      <c r="H347" s="9"/>
      <c r="I347" s="10"/>
      <c r="J347" s="6"/>
      <c r="K347" s="4"/>
    </row>
    <row r="348" spans="2:11" ht="12.75">
      <c r="B348" s="6"/>
      <c r="C348" s="6"/>
      <c r="D348" s="7"/>
      <c r="E348" s="7"/>
      <c r="F348" s="8"/>
      <c r="G348" s="9"/>
      <c r="H348" s="9"/>
      <c r="I348" s="10"/>
      <c r="J348" s="6"/>
      <c r="K348" s="4"/>
    </row>
    <row r="349" spans="2:11" ht="12.75">
      <c r="B349" s="6"/>
      <c r="C349" s="6"/>
      <c r="D349" s="7"/>
      <c r="E349" s="7"/>
      <c r="F349" s="8"/>
      <c r="G349" s="9"/>
      <c r="H349" s="9"/>
      <c r="I349" s="10"/>
      <c r="J349" s="6"/>
      <c r="K349" s="4"/>
    </row>
    <row r="350" spans="2:11" ht="12.75">
      <c r="B350" s="6"/>
      <c r="C350" s="6"/>
      <c r="D350" s="7"/>
      <c r="E350" s="7"/>
      <c r="F350" s="8"/>
      <c r="G350" s="9"/>
      <c r="H350" s="9"/>
      <c r="I350" s="10"/>
      <c r="J350" s="6"/>
      <c r="K350" s="4"/>
    </row>
    <row r="351" spans="2:11" ht="12.75">
      <c r="B351" s="6"/>
      <c r="C351" s="6"/>
      <c r="D351" s="7"/>
      <c r="E351" s="7"/>
      <c r="F351" s="8"/>
      <c r="G351" s="9"/>
      <c r="H351" s="9"/>
      <c r="I351" s="10"/>
      <c r="J351" s="6"/>
      <c r="K351" s="4"/>
    </row>
    <row r="352" spans="2:11" ht="12.75">
      <c r="B352" s="6"/>
      <c r="C352" s="6"/>
      <c r="D352" s="7"/>
      <c r="E352" s="7"/>
      <c r="F352" s="8"/>
      <c r="G352" s="9"/>
      <c r="H352" s="9"/>
      <c r="I352" s="10"/>
      <c r="J352" s="6"/>
      <c r="K352" s="4"/>
    </row>
    <row r="353" spans="2:11" ht="12.75">
      <c r="B353" s="6"/>
      <c r="C353" s="6"/>
      <c r="D353" s="7"/>
      <c r="E353" s="7"/>
      <c r="F353" s="8"/>
      <c r="G353" s="9"/>
      <c r="H353" s="9"/>
      <c r="I353" s="10"/>
      <c r="J353" s="6"/>
      <c r="K353" s="4"/>
    </row>
    <row r="354" spans="2:11" ht="12.75">
      <c r="B354" s="6"/>
      <c r="C354" s="6"/>
      <c r="D354" s="7"/>
      <c r="E354" s="7"/>
      <c r="F354" s="8"/>
      <c r="G354" s="9"/>
      <c r="H354" s="9"/>
      <c r="I354" s="10"/>
      <c r="J354" s="6"/>
      <c r="K354" s="4"/>
    </row>
    <row r="355" spans="2:11" ht="12.75">
      <c r="B355" s="6"/>
      <c r="C355" s="6"/>
      <c r="D355" s="7"/>
      <c r="E355" s="7"/>
      <c r="F355" s="8"/>
      <c r="G355" s="9"/>
      <c r="H355" s="9"/>
      <c r="I355" s="10"/>
      <c r="J355" s="6"/>
      <c r="K355" s="4"/>
    </row>
    <row r="356" spans="2:11" ht="12.75">
      <c r="B356" s="6"/>
      <c r="C356" s="6"/>
      <c r="D356" s="7"/>
      <c r="E356" s="7"/>
      <c r="F356" s="8"/>
      <c r="G356" s="9"/>
      <c r="H356" s="9"/>
      <c r="I356" s="10"/>
      <c r="J356" s="6"/>
      <c r="K356" s="4"/>
    </row>
    <row r="357" spans="2:11" ht="12.75">
      <c r="B357" s="6"/>
      <c r="C357" s="6"/>
      <c r="D357" s="7"/>
      <c r="E357" s="7"/>
      <c r="F357" s="8"/>
      <c r="G357" s="9"/>
      <c r="H357" s="9"/>
      <c r="I357" s="10"/>
      <c r="J357" s="6"/>
      <c r="K357" s="4"/>
    </row>
    <row r="358" spans="2:11" ht="12.75">
      <c r="B358" s="6"/>
      <c r="C358" s="6"/>
      <c r="D358" s="7"/>
      <c r="E358" s="7"/>
      <c r="F358" s="8"/>
      <c r="G358" s="9"/>
      <c r="H358" s="9"/>
      <c r="I358" s="10"/>
      <c r="J358" s="6"/>
      <c r="K358" s="4"/>
    </row>
    <row r="359" spans="2:11" ht="12.75">
      <c r="B359" s="6"/>
      <c r="C359" s="6"/>
      <c r="D359" s="7"/>
      <c r="E359" s="7"/>
      <c r="F359" s="8"/>
      <c r="G359" s="9"/>
      <c r="H359" s="9"/>
      <c r="I359" s="10"/>
      <c r="J359" s="6"/>
      <c r="K359" s="4"/>
    </row>
    <row r="360" spans="2:11" ht="12.75">
      <c r="B360" s="6"/>
      <c r="C360" s="6"/>
      <c r="D360" s="7"/>
      <c r="E360" s="7"/>
      <c r="F360" s="8"/>
      <c r="G360" s="9"/>
      <c r="H360" s="9"/>
      <c r="I360" s="10"/>
      <c r="J360" s="6"/>
      <c r="K360" s="4"/>
    </row>
    <row r="361" spans="2:11" ht="12.75">
      <c r="B361" s="6"/>
      <c r="C361" s="6"/>
      <c r="D361" s="7"/>
      <c r="E361" s="7"/>
      <c r="F361" s="8"/>
      <c r="G361" s="9"/>
      <c r="H361" s="9"/>
      <c r="I361" s="10"/>
      <c r="J361" s="6"/>
      <c r="K361" s="4"/>
    </row>
    <row r="362" spans="2:11" ht="12.75">
      <c r="B362" s="6"/>
      <c r="C362" s="6"/>
      <c r="D362" s="7"/>
      <c r="E362" s="7"/>
      <c r="F362" s="8"/>
      <c r="G362" s="9"/>
      <c r="H362" s="9"/>
      <c r="I362" s="10"/>
      <c r="J362" s="6"/>
      <c r="K362" s="4"/>
    </row>
    <row r="363" spans="2:11" ht="12.75">
      <c r="B363" s="6"/>
      <c r="C363" s="6"/>
      <c r="D363" s="7"/>
      <c r="E363" s="7"/>
      <c r="F363" s="8"/>
      <c r="G363" s="9"/>
      <c r="H363" s="9"/>
      <c r="I363" s="10"/>
      <c r="J363" s="6"/>
      <c r="K363" s="4"/>
    </row>
    <row r="364" spans="2:11" ht="12.75">
      <c r="B364" s="6"/>
      <c r="C364" s="6"/>
      <c r="D364" s="7"/>
      <c r="E364" s="7"/>
      <c r="F364" s="8"/>
      <c r="G364" s="9"/>
      <c r="H364" s="9"/>
      <c r="I364" s="10"/>
      <c r="J364" s="6"/>
      <c r="K364" s="4"/>
    </row>
    <row r="365" spans="2:11" ht="12.75">
      <c r="B365" s="6"/>
      <c r="C365" s="6"/>
      <c r="D365" s="7"/>
      <c r="E365" s="7"/>
      <c r="F365" s="8"/>
      <c r="G365" s="9"/>
      <c r="H365" s="9"/>
      <c r="I365" s="10"/>
      <c r="J365" s="6"/>
      <c r="K365" s="4"/>
    </row>
    <row r="366" spans="2:11" ht="12.75">
      <c r="B366" s="6"/>
      <c r="C366" s="6"/>
      <c r="D366" s="7"/>
      <c r="E366" s="7"/>
      <c r="F366" s="8"/>
      <c r="G366" s="9"/>
      <c r="H366" s="9"/>
      <c r="I366" s="10"/>
      <c r="J366" s="6"/>
      <c r="K366" s="4"/>
    </row>
    <row r="367" spans="2:11" ht="12.75">
      <c r="B367" s="6"/>
      <c r="C367" s="6"/>
      <c r="D367" s="7"/>
      <c r="E367" s="7"/>
      <c r="F367" s="8"/>
      <c r="G367" s="9"/>
      <c r="H367" s="9"/>
      <c r="I367" s="10"/>
      <c r="J367" s="6"/>
      <c r="K367" s="4"/>
    </row>
    <row r="368" spans="2:11" ht="12.75">
      <c r="B368" s="6"/>
      <c r="C368" s="6"/>
      <c r="D368" s="7"/>
      <c r="E368" s="7"/>
      <c r="F368" s="8"/>
      <c r="G368" s="9"/>
      <c r="H368" s="9"/>
      <c r="I368" s="10"/>
      <c r="J368" s="6"/>
      <c r="K368" s="4"/>
    </row>
    <row r="369" spans="2:11" ht="12.75">
      <c r="B369" s="6"/>
      <c r="C369" s="6"/>
      <c r="D369" s="7"/>
      <c r="E369" s="7"/>
      <c r="F369" s="8"/>
      <c r="G369" s="9"/>
      <c r="H369" s="9"/>
      <c r="I369" s="10"/>
      <c r="J369" s="6"/>
      <c r="K369" s="4"/>
    </row>
    <row r="370" spans="2:11" ht="12.75">
      <c r="B370" s="6"/>
      <c r="C370" s="6"/>
      <c r="D370" s="7"/>
      <c r="E370" s="7"/>
      <c r="F370" s="8"/>
      <c r="G370" s="9"/>
      <c r="H370" s="9"/>
      <c r="I370" s="10"/>
      <c r="J370" s="6"/>
      <c r="K370" s="4"/>
    </row>
    <row r="371" spans="2:11" ht="12.75">
      <c r="B371" s="6"/>
      <c r="C371" s="6"/>
      <c r="D371" s="7"/>
      <c r="E371" s="7"/>
      <c r="F371" s="8"/>
      <c r="G371" s="9"/>
      <c r="H371" s="9"/>
      <c r="I371" s="10"/>
      <c r="J371" s="6"/>
      <c r="K371" s="4"/>
    </row>
    <row r="372" spans="2:11" ht="12.75">
      <c r="B372" s="6"/>
      <c r="C372" s="6"/>
      <c r="D372" s="7"/>
      <c r="E372" s="7"/>
      <c r="F372" s="8"/>
      <c r="G372" s="9"/>
      <c r="H372" s="9"/>
      <c r="I372" s="10"/>
      <c r="J372" s="6"/>
      <c r="K372" s="4"/>
    </row>
    <row r="373" spans="2:11" ht="12.75">
      <c r="B373" s="6"/>
      <c r="C373" s="6"/>
      <c r="D373" s="7"/>
      <c r="E373" s="7"/>
      <c r="F373" s="8"/>
      <c r="G373" s="9"/>
      <c r="H373" s="9"/>
      <c r="I373" s="10"/>
      <c r="J373" s="6"/>
      <c r="K373" s="4"/>
    </row>
    <row r="374" spans="2:11" ht="12.75">
      <c r="B374" s="6"/>
      <c r="C374" s="6"/>
      <c r="D374" s="7"/>
      <c r="E374" s="7"/>
      <c r="F374" s="8"/>
      <c r="G374" s="9"/>
      <c r="H374" s="9"/>
      <c r="I374" s="10"/>
      <c r="J374" s="6"/>
      <c r="K374" s="4"/>
    </row>
    <row r="375" spans="2:11" ht="12.75">
      <c r="B375" s="6"/>
      <c r="C375" s="6"/>
      <c r="D375" s="7"/>
      <c r="E375" s="7"/>
      <c r="F375" s="8"/>
      <c r="G375" s="9"/>
      <c r="H375" s="9"/>
      <c r="I375" s="10"/>
      <c r="J375" s="6"/>
      <c r="K375" s="4"/>
    </row>
    <row r="376" spans="2:11" ht="12.75">
      <c r="B376" s="6"/>
      <c r="C376" s="6"/>
      <c r="D376" s="7"/>
      <c r="E376" s="7"/>
      <c r="F376" s="8"/>
      <c r="G376" s="9"/>
      <c r="H376" s="9"/>
      <c r="I376" s="10"/>
      <c r="J376" s="6"/>
      <c r="K376" s="4"/>
    </row>
    <row r="377" spans="2:11" ht="12.75">
      <c r="B377" s="6"/>
      <c r="C377" s="6"/>
      <c r="D377" s="7"/>
      <c r="E377" s="7"/>
      <c r="F377" s="8"/>
      <c r="G377" s="9"/>
      <c r="H377" s="9"/>
      <c r="I377" s="10"/>
      <c r="J377" s="6"/>
      <c r="K377" s="4"/>
    </row>
    <row r="378" spans="2:11" ht="12.75">
      <c r="B378" s="6"/>
      <c r="C378" s="6"/>
      <c r="D378" s="7"/>
      <c r="E378" s="7"/>
      <c r="F378" s="8"/>
      <c r="G378" s="9"/>
      <c r="H378" s="9"/>
      <c r="I378" s="10"/>
      <c r="J378" s="6"/>
      <c r="K378" s="4"/>
    </row>
    <row r="379" spans="2:11" ht="12.75">
      <c r="B379" s="6"/>
      <c r="C379" s="6"/>
      <c r="D379" s="7"/>
      <c r="E379" s="7"/>
      <c r="F379" s="8"/>
      <c r="G379" s="9"/>
      <c r="H379" s="9"/>
      <c r="I379" s="10"/>
      <c r="J379" s="6"/>
      <c r="K379" s="4"/>
    </row>
    <row r="380" spans="2:11" ht="12.75">
      <c r="B380" s="6"/>
      <c r="C380" s="6"/>
      <c r="D380" s="7"/>
      <c r="E380" s="7"/>
      <c r="F380" s="8"/>
      <c r="G380" s="9"/>
      <c r="H380" s="9"/>
      <c r="I380" s="10"/>
      <c r="J380" s="6"/>
      <c r="K380" s="4"/>
    </row>
    <row r="381" spans="2:11" ht="12.75">
      <c r="B381" s="6"/>
      <c r="C381" s="6"/>
      <c r="D381" s="7"/>
      <c r="E381" s="7"/>
      <c r="F381" s="8"/>
      <c r="G381" s="9"/>
      <c r="H381" s="9"/>
      <c r="I381" s="10"/>
      <c r="J381" s="6"/>
      <c r="K381" s="4"/>
    </row>
    <row r="382" spans="2:11" ht="12.75">
      <c r="B382" s="6"/>
      <c r="C382" s="6"/>
      <c r="D382" s="7"/>
      <c r="E382" s="7"/>
      <c r="F382" s="8"/>
      <c r="G382" s="9"/>
      <c r="H382" s="9"/>
      <c r="I382" s="10"/>
      <c r="J382" s="6"/>
      <c r="K382" s="4"/>
    </row>
    <row r="383" spans="2:11" ht="12.75">
      <c r="B383" s="6"/>
      <c r="C383" s="6"/>
      <c r="D383" s="7"/>
      <c r="E383" s="7"/>
      <c r="F383" s="8"/>
      <c r="G383" s="9"/>
      <c r="H383" s="9"/>
      <c r="I383" s="10"/>
      <c r="J383" s="6"/>
      <c r="K383" s="4"/>
    </row>
    <row r="384" spans="2:11" ht="12.75">
      <c r="B384" s="6"/>
      <c r="C384" s="6"/>
      <c r="D384" s="7"/>
      <c r="E384" s="7"/>
      <c r="F384" s="8"/>
      <c r="G384" s="9"/>
      <c r="H384" s="9"/>
      <c r="I384" s="10"/>
      <c r="J384" s="6"/>
      <c r="K384" s="4"/>
    </row>
    <row r="385" spans="2:11" ht="12.75">
      <c r="B385" s="6"/>
      <c r="C385" s="6"/>
      <c r="D385" s="7"/>
      <c r="E385" s="7"/>
      <c r="F385" s="8"/>
      <c r="G385" s="9"/>
      <c r="H385" s="9"/>
      <c r="I385" s="10"/>
      <c r="J385" s="6"/>
      <c r="K385" s="4"/>
    </row>
    <row r="386" spans="2:11" ht="12.75">
      <c r="B386" s="6"/>
      <c r="C386" s="6"/>
      <c r="D386" s="7"/>
      <c r="E386" s="7"/>
      <c r="F386" s="8"/>
      <c r="G386" s="9"/>
      <c r="H386" s="9"/>
      <c r="I386" s="10"/>
      <c r="J386" s="6"/>
      <c r="K386" s="4"/>
    </row>
    <row r="387" spans="2:11" ht="12.75">
      <c r="B387" s="6"/>
      <c r="C387" s="6"/>
      <c r="D387" s="7"/>
      <c r="E387" s="7"/>
      <c r="F387" s="8"/>
      <c r="G387" s="9"/>
      <c r="H387" s="9"/>
      <c r="I387" s="10"/>
      <c r="J387" s="6"/>
      <c r="K387" s="4"/>
    </row>
    <row r="388" spans="2:11" ht="12.75">
      <c r="B388" s="6"/>
      <c r="C388" s="6"/>
      <c r="D388" s="7"/>
      <c r="E388" s="7"/>
      <c r="F388" s="8"/>
      <c r="G388" s="9"/>
      <c r="H388" s="9"/>
      <c r="I388" s="10"/>
      <c r="J388" s="6"/>
      <c r="K388" s="4"/>
    </row>
    <row r="389" spans="2:11" ht="12.75">
      <c r="B389" s="6"/>
      <c r="C389" s="6"/>
      <c r="D389" s="7"/>
      <c r="E389" s="7"/>
      <c r="F389" s="8"/>
      <c r="G389" s="9"/>
      <c r="H389" s="9"/>
      <c r="I389" s="10"/>
      <c r="J389" s="6"/>
      <c r="K389" s="4"/>
    </row>
    <row r="390" spans="2:11" ht="12.75">
      <c r="B390" s="6"/>
      <c r="C390" s="6"/>
      <c r="D390" s="7"/>
      <c r="E390" s="7"/>
      <c r="F390" s="8"/>
      <c r="G390" s="9"/>
      <c r="H390" s="9"/>
      <c r="I390" s="10"/>
      <c r="J390" s="6"/>
      <c r="K390" s="4"/>
    </row>
    <row r="391" spans="2:11" ht="12.75">
      <c r="B391" s="6"/>
      <c r="C391" s="6"/>
      <c r="D391" s="7"/>
      <c r="E391" s="7"/>
      <c r="F391" s="8"/>
      <c r="G391" s="9"/>
      <c r="H391" s="9"/>
      <c r="I391" s="10"/>
      <c r="J391" s="6"/>
      <c r="K391" s="4"/>
    </row>
    <row r="392" spans="2:11" ht="12.75">
      <c r="B392" s="6"/>
      <c r="C392" s="6"/>
      <c r="D392" s="7"/>
      <c r="E392" s="7"/>
      <c r="F392" s="8"/>
      <c r="G392" s="9"/>
      <c r="H392" s="9"/>
      <c r="I392" s="10"/>
      <c r="J392" s="6"/>
      <c r="K392" s="4"/>
    </row>
    <row r="393" spans="2:11" ht="12.75">
      <c r="B393" s="6"/>
      <c r="C393" s="6"/>
      <c r="D393" s="7"/>
      <c r="E393" s="7"/>
      <c r="F393" s="8"/>
      <c r="G393" s="9"/>
      <c r="H393" s="9"/>
      <c r="I393" s="10"/>
      <c r="J393" s="6"/>
      <c r="K393" s="4"/>
    </row>
    <row r="394" spans="2:11" ht="12.75">
      <c r="B394" s="6"/>
      <c r="C394" s="6"/>
      <c r="D394" s="7"/>
      <c r="E394" s="7"/>
      <c r="F394" s="8"/>
      <c r="G394" s="9"/>
      <c r="H394" s="9"/>
      <c r="I394" s="10"/>
      <c r="J394" s="6"/>
      <c r="K394" s="4"/>
    </row>
    <row r="395" spans="2:11" ht="12.75">
      <c r="B395" s="6"/>
      <c r="C395" s="6"/>
      <c r="D395" s="7"/>
      <c r="E395" s="7"/>
      <c r="F395" s="8"/>
      <c r="G395" s="9"/>
      <c r="H395" s="9"/>
      <c r="I395" s="10"/>
      <c r="J395" s="6"/>
      <c r="K395" s="4"/>
    </row>
    <row r="396" spans="2:11" ht="12.75">
      <c r="B396" s="6"/>
      <c r="C396" s="6"/>
      <c r="D396" s="7"/>
      <c r="E396" s="7"/>
      <c r="F396" s="8"/>
      <c r="G396" s="9"/>
      <c r="H396" s="9"/>
      <c r="I396" s="10"/>
      <c r="J396" s="6"/>
      <c r="K396" s="4"/>
    </row>
    <row r="397" spans="2:11" ht="12.75">
      <c r="B397" s="6"/>
      <c r="C397" s="6"/>
      <c r="D397" s="7"/>
      <c r="E397" s="7"/>
      <c r="F397" s="8"/>
      <c r="G397" s="9"/>
      <c r="H397" s="9"/>
      <c r="I397" s="10"/>
      <c r="J397" s="6"/>
      <c r="K397" s="4"/>
    </row>
    <row r="398" spans="2:11" ht="12.75">
      <c r="B398" s="6"/>
      <c r="C398" s="6"/>
      <c r="D398" s="7"/>
      <c r="E398" s="7"/>
      <c r="F398" s="8"/>
      <c r="G398" s="9"/>
      <c r="H398" s="9"/>
      <c r="I398" s="10"/>
      <c r="J398" s="6"/>
      <c r="K398" s="4"/>
    </row>
    <row r="399" spans="2:11" ht="12.75">
      <c r="B399" s="6"/>
      <c r="C399" s="6"/>
      <c r="D399" s="7"/>
      <c r="E399" s="7"/>
      <c r="F399" s="8"/>
      <c r="G399" s="9"/>
      <c r="H399" s="9"/>
      <c r="I399" s="10"/>
      <c r="J399" s="6"/>
      <c r="K399" s="4"/>
    </row>
    <row r="400" spans="2:11" ht="12.75">
      <c r="B400" s="6"/>
      <c r="C400" s="6"/>
      <c r="D400" s="7"/>
      <c r="E400" s="7"/>
      <c r="F400" s="8"/>
      <c r="G400" s="9"/>
      <c r="H400" s="9"/>
      <c r="I400" s="10"/>
      <c r="J400" s="6"/>
      <c r="K400" s="4"/>
    </row>
    <row r="401" spans="2:11" ht="12.75">
      <c r="B401" s="6"/>
      <c r="C401" s="6"/>
      <c r="D401" s="7"/>
      <c r="E401" s="7"/>
      <c r="F401" s="8"/>
      <c r="G401" s="9"/>
      <c r="H401" s="9"/>
      <c r="I401" s="10"/>
      <c r="J401" s="6"/>
      <c r="K401" s="4"/>
    </row>
    <row r="402" spans="2:11" ht="12.75">
      <c r="B402" s="6"/>
      <c r="C402" s="6"/>
      <c r="D402" s="7"/>
      <c r="E402" s="7"/>
      <c r="F402" s="8"/>
      <c r="G402" s="9"/>
      <c r="H402" s="9"/>
      <c r="I402" s="10"/>
      <c r="J402" s="6"/>
      <c r="K402" s="4"/>
    </row>
    <row r="403" spans="2:11" ht="12.75">
      <c r="B403" s="6"/>
      <c r="C403" s="6"/>
      <c r="D403" s="7"/>
      <c r="E403" s="7"/>
      <c r="F403" s="8"/>
      <c r="G403" s="9"/>
      <c r="H403" s="9"/>
      <c r="I403" s="10"/>
      <c r="J403" s="6"/>
      <c r="K403" s="4"/>
    </row>
    <row r="404" spans="2:11" ht="12.75">
      <c r="B404" s="6"/>
      <c r="C404" s="6"/>
      <c r="D404" s="7"/>
      <c r="E404" s="7"/>
      <c r="F404" s="8"/>
      <c r="G404" s="9"/>
      <c r="H404" s="9"/>
      <c r="I404" s="10"/>
      <c r="J404" s="6"/>
      <c r="K404" s="4"/>
    </row>
    <row r="405" spans="2:11" ht="12.75">
      <c r="B405" s="6"/>
      <c r="C405" s="6"/>
      <c r="D405" s="7"/>
      <c r="E405" s="7"/>
      <c r="F405" s="8"/>
      <c r="G405" s="9"/>
      <c r="H405" s="9"/>
      <c r="I405" s="10"/>
      <c r="J405" s="6"/>
      <c r="K405" s="4"/>
    </row>
    <row r="406" spans="2:11" ht="12.75">
      <c r="B406" s="6"/>
      <c r="C406" s="6"/>
      <c r="D406" s="7"/>
      <c r="E406" s="7"/>
      <c r="F406" s="8"/>
      <c r="G406" s="9"/>
      <c r="H406" s="9"/>
      <c r="I406" s="10"/>
      <c r="J406" s="6"/>
      <c r="K406" s="4"/>
    </row>
    <row r="407" spans="2:11" ht="12.75">
      <c r="B407" s="6"/>
      <c r="C407" s="6"/>
      <c r="D407" s="7"/>
      <c r="E407" s="7"/>
      <c r="F407" s="8"/>
      <c r="G407" s="9"/>
      <c r="H407" s="9"/>
      <c r="I407" s="10"/>
      <c r="J407" s="6"/>
      <c r="K407" s="4"/>
    </row>
    <row r="408" spans="2:11" ht="12.75">
      <c r="B408" s="6"/>
      <c r="C408" s="6"/>
      <c r="D408" s="7"/>
      <c r="E408" s="7"/>
      <c r="F408" s="8"/>
      <c r="G408" s="9"/>
      <c r="H408" s="9"/>
      <c r="I408" s="10"/>
      <c r="J408" s="6"/>
      <c r="K408" s="4"/>
    </row>
    <row r="409" spans="2:11" ht="12.75">
      <c r="B409" s="6"/>
      <c r="C409" s="6"/>
      <c r="D409" s="7"/>
      <c r="E409" s="7"/>
      <c r="F409" s="8"/>
      <c r="G409" s="9"/>
      <c r="H409" s="9"/>
      <c r="I409" s="10"/>
      <c r="J409" s="6"/>
      <c r="K409" s="4"/>
    </row>
    <row r="410" spans="2:11" ht="12.75">
      <c r="B410" s="6"/>
      <c r="C410" s="6"/>
      <c r="D410" s="7"/>
      <c r="E410" s="7"/>
      <c r="F410" s="8"/>
      <c r="G410" s="9"/>
      <c r="H410" s="9"/>
      <c r="I410" s="10"/>
      <c r="J410" s="6"/>
      <c r="K410" s="4"/>
    </row>
    <row r="411" spans="2:11" ht="12.75">
      <c r="B411" s="6"/>
      <c r="C411" s="6"/>
      <c r="D411" s="7"/>
      <c r="E411" s="7"/>
      <c r="F411" s="8"/>
      <c r="G411" s="9"/>
      <c r="H411" s="9"/>
      <c r="I411" s="10"/>
      <c r="J411" s="6"/>
      <c r="K411" s="4"/>
    </row>
    <row r="412" spans="2:11" ht="12.75">
      <c r="B412" s="6"/>
      <c r="C412" s="6"/>
      <c r="D412" s="7"/>
      <c r="E412" s="7"/>
      <c r="F412" s="8"/>
      <c r="G412" s="9"/>
      <c r="H412" s="9"/>
      <c r="I412" s="10"/>
      <c r="J412" s="6"/>
      <c r="K412" s="4"/>
    </row>
    <row r="413" spans="2:11" ht="12.75">
      <c r="B413" s="6"/>
      <c r="C413" s="6"/>
      <c r="D413" s="7"/>
      <c r="E413" s="7"/>
      <c r="F413" s="8"/>
      <c r="G413" s="9"/>
      <c r="H413" s="9"/>
      <c r="I413" s="10"/>
      <c r="J413" s="6"/>
      <c r="K413" s="4"/>
    </row>
    <row r="414" spans="2:11" ht="12.75">
      <c r="B414" s="6"/>
      <c r="C414" s="6"/>
      <c r="D414" s="7"/>
      <c r="E414" s="7"/>
      <c r="F414" s="8"/>
      <c r="G414" s="9"/>
      <c r="H414" s="9"/>
      <c r="I414" s="10"/>
      <c r="J414" s="6"/>
      <c r="K414" s="4"/>
    </row>
    <row r="415" spans="2:11" ht="12.75">
      <c r="B415" s="6"/>
      <c r="C415" s="6"/>
      <c r="D415" s="7"/>
      <c r="E415" s="7"/>
      <c r="F415" s="8"/>
      <c r="G415" s="9"/>
      <c r="H415" s="9"/>
      <c r="I415" s="10"/>
      <c r="J415" s="6"/>
      <c r="K415" s="4"/>
    </row>
    <row r="416" spans="2:11" ht="12.75">
      <c r="B416" s="6"/>
      <c r="C416" s="6"/>
      <c r="D416" s="7"/>
      <c r="E416" s="7"/>
      <c r="F416" s="8"/>
      <c r="G416" s="9"/>
      <c r="H416" s="9"/>
      <c r="I416" s="10"/>
      <c r="J416" s="6"/>
      <c r="K416" s="4"/>
    </row>
    <row r="417" spans="2:11" ht="12.75">
      <c r="B417" s="6"/>
      <c r="C417" s="6"/>
      <c r="D417" s="7"/>
      <c r="E417" s="7"/>
      <c r="F417" s="8"/>
      <c r="G417" s="9"/>
      <c r="H417" s="9"/>
      <c r="I417" s="10"/>
      <c r="J417" s="6"/>
      <c r="K417" s="4"/>
    </row>
    <row r="418" spans="2:11" ht="12.75">
      <c r="B418" s="6"/>
      <c r="C418" s="6"/>
      <c r="D418" s="7"/>
      <c r="E418" s="7"/>
      <c r="F418" s="8"/>
      <c r="G418" s="9"/>
      <c r="H418" s="9"/>
      <c r="I418" s="10"/>
      <c r="J418" s="6"/>
      <c r="K418" s="4"/>
    </row>
    <row r="419" spans="2:11" ht="12.75">
      <c r="B419" s="6"/>
      <c r="C419" s="6"/>
      <c r="D419" s="7"/>
      <c r="E419" s="7"/>
      <c r="F419" s="8"/>
      <c r="G419" s="9"/>
      <c r="H419" s="9"/>
      <c r="I419" s="10"/>
      <c r="J419" s="6"/>
      <c r="K419" s="4"/>
    </row>
    <row r="420" spans="2:11" ht="12.75">
      <c r="B420" s="6"/>
      <c r="C420" s="6"/>
      <c r="D420" s="7"/>
      <c r="E420" s="7"/>
      <c r="F420" s="8"/>
      <c r="G420" s="9"/>
      <c r="H420" s="9"/>
      <c r="I420" s="10"/>
      <c r="J420" s="6"/>
      <c r="K420" s="4"/>
    </row>
    <row r="421" spans="2:11" ht="12.75">
      <c r="B421" s="6"/>
      <c r="C421" s="6"/>
      <c r="D421" s="7"/>
      <c r="E421" s="7"/>
      <c r="F421" s="8"/>
      <c r="G421" s="9"/>
      <c r="H421" s="9"/>
      <c r="I421" s="10"/>
      <c r="J421" s="6"/>
      <c r="K421" s="4"/>
    </row>
    <row r="422" spans="2:11" ht="12.75">
      <c r="B422" s="6"/>
      <c r="C422" s="6"/>
      <c r="D422" s="7"/>
      <c r="E422" s="7"/>
      <c r="F422" s="8"/>
      <c r="G422" s="9"/>
      <c r="H422" s="9"/>
      <c r="I422" s="10"/>
      <c r="J422" s="6"/>
      <c r="K422" s="4"/>
    </row>
    <row r="423" spans="2:11" ht="12.75">
      <c r="B423" s="6"/>
      <c r="C423" s="6"/>
      <c r="D423" s="7"/>
      <c r="E423" s="7"/>
      <c r="F423" s="8"/>
      <c r="G423" s="9"/>
      <c r="H423" s="9"/>
      <c r="I423" s="10"/>
      <c r="J423" s="6"/>
      <c r="K423" s="4"/>
    </row>
    <row r="424" spans="2:11" ht="12.75">
      <c r="B424" s="6"/>
      <c r="C424" s="6"/>
      <c r="D424" s="7"/>
      <c r="E424" s="7"/>
      <c r="F424" s="8"/>
      <c r="G424" s="9"/>
      <c r="H424" s="9"/>
      <c r="I424" s="10"/>
      <c r="J424" s="6"/>
      <c r="K424" s="4"/>
    </row>
    <row r="425" spans="2:11" ht="12.75">
      <c r="B425" s="6"/>
      <c r="C425" s="6"/>
      <c r="D425" s="7"/>
      <c r="E425" s="7"/>
      <c r="F425" s="8"/>
      <c r="G425" s="9"/>
      <c r="H425" s="9"/>
      <c r="I425" s="10"/>
      <c r="J425" s="6"/>
      <c r="K425" s="4"/>
    </row>
    <row r="426" spans="2:11" ht="12.75">
      <c r="B426" s="6"/>
      <c r="C426" s="6"/>
      <c r="D426" s="7"/>
      <c r="E426" s="7"/>
      <c r="F426" s="8"/>
      <c r="G426" s="9"/>
      <c r="H426" s="9"/>
      <c r="I426" s="10"/>
      <c r="J426" s="6"/>
      <c r="K426" s="4"/>
    </row>
    <row r="427" spans="2:11" ht="12.75">
      <c r="B427" s="6"/>
      <c r="C427" s="6"/>
      <c r="D427" s="7"/>
      <c r="E427" s="7"/>
      <c r="F427" s="8"/>
      <c r="G427" s="9"/>
      <c r="H427" s="9"/>
      <c r="I427" s="10"/>
      <c r="J427" s="6"/>
      <c r="K427" s="4"/>
    </row>
    <row r="428" spans="2:11" ht="12.75">
      <c r="B428" s="6"/>
      <c r="C428" s="6"/>
      <c r="D428" s="7"/>
      <c r="E428" s="7"/>
      <c r="F428" s="8"/>
      <c r="G428" s="9"/>
      <c r="H428" s="9"/>
      <c r="I428" s="10"/>
      <c r="J428" s="6"/>
      <c r="K428" s="4"/>
    </row>
    <row r="429" spans="2:11" ht="12.75">
      <c r="B429" s="6"/>
      <c r="C429" s="6"/>
      <c r="D429" s="7"/>
      <c r="E429" s="7"/>
      <c r="F429" s="8"/>
      <c r="G429" s="9"/>
      <c r="H429" s="9"/>
      <c r="I429" s="10"/>
      <c r="J429" s="6"/>
      <c r="K429" s="4"/>
    </row>
    <row r="430" spans="2:11" ht="12.75">
      <c r="B430" s="6"/>
      <c r="C430" s="6"/>
      <c r="D430" s="7"/>
      <c r="E430" s="7"/>
      <c r="F430" s="8"/>
      <c r="G430" s="9"/>
      <c r="H430" s="9"/>
      <c r="I430" s="10"/>
      <c r="J430" s="6"/>
      <c r="K430" s="4"/>
    </row>
    <row r="431" spans="2:11" ht="12.75">
      <c r="B431" s="6"/>
      <c r="C431" s="6"/>
      <c r="D431" s="7"/>
      <c r="E431" s="7"/>
      <c r="F431" s="8"/>
      <c r="G431" s="9"/>
      <c r="H431" s="9"/>
      <c r="I431" s="10"/>
      <c r="J431" s="6"/>
      <c r="K431" s="4"/>
    </row>
    <row r="432" spans="2:11" ht="12.75">
      <c r="B432" s="6"/>
      <c r="C432" s="6"/>
      <c r="D432" s="7"/>
      <c r="E432" s="7"/>
      <c r="F432" s="8"/>
      <c r="G432" s="9"/>
      <c r="H432" s="9"/>
      <c r="I432" s="10"/>
      <c r="J432" s="6"/>
      <c r="K432" s="4"/>
    </row>
    <row r="433" spans="2:11" ht="12.75">
      <c r="B433" s="6"/>
      <c r="C433" s="6"/>
      <c r="D433" s="7"/>
      <c r="E433" s="7"/>
      <c r="F433" s="8"/>
      <c r="G433" s="9"/>
      <c r="H433" s="9"/>
      <c r="I433" s="10"/>
      <c r="J433" s="6"/>
      <c r="K433" s="4"/>
    </row>
    <row r="434" spans="2:11" ht="12.75">
      <c r="B434" s="6"/>
      <c r="C434" s="6"/>
      <c r="D434" s="7"/>
      <c r="E434" s="7"/>
      <c r="F434" s="8"/>
      <c r="G434" s="9"/>
      <c r="H434" s="9"/>
      <c r="I434" s="10"/>
      <c r="J434" s="6"/>
      <c r="K434" s="4"/>
    </row>
    <row r="435" spans="2:11" ht="12.75">
      <c r="B435" s="6"/>
      <c r="C435" s="6"/>
      <c r="D435" s="7"/>
      <c r="E435" s="7"/>
      <c r="F435" s="8"/>
      <c r="G435" s="9"/>
      <c r="H435" s="9"/>
      <c r="I435" s="10"/>
      <c r="J435" s="6"/>
      <c r="K435" s="4"/>
    </row>
    <row r="436" spans="2:11" ht="12.75">
      <c r="B436" s="6"/>
      <c r="C436" s="6"/>
      <c r="D436" s="7"/>
      <c r="E436" s="7"/>
      <c r="F436" s="8"/>
      <c r="G436" s="9"/>
      <c r="H436" s="9"/>
      <c r="I436" s="10"/>
      <c r="J436" s="6"/>
      <c r="K436" s="4"/>
    </row>
    <row r="437" spans="2:11" ht="12.75">
      <c r="B437" s="6"/>
      <c r="C437" s="6"/>
      <c r="D437" s="7"/>
      <c r="E437" s="7"/>
      <c r="F437" s="8"/>
      <c r="G437" s="9"/>
      <c r="H437" s="9"/>
      <c r="I437" s="10"/>
      <c r="J437" s="6"/>
      <c r="K437" s="4"/>
    </row>
    <row r="438" spans="2:11" ht="12.75">
      <c r="B438" s="6"/>
      <c r="C438" s="6"/>
      <c r="D438" s="7"/>
      <c r="E438" s="7"/>
      <c r="F438" s="8"/>
      <c r="G438" s="9"/>
      <c r="H438" s="9"/>
      <c r="I438" s="10"/>
      <c r="J438" s="6"/>
      <c r="K438" s="4"/>
    </row>
    <row r="439" spans="2:11" ht="12.75">
      <c r="B439" s="6"/>
      <c r="C439" s="6"/>
      <c r="D439" s="7"/>
      <c r="E439" s="7"/>
      <c r="F439" s="8"/>
      <c r="G439" s="9"/>
      <c r="H439" s="9"/>
      <c r="I439" s="10"/>
      <c r="J439" s="6"/>
      <c r="K439" s="4"/>
    </row>
    <row r="440" spans="2:11" ht="12.75">
      <c r="B440" s="6"/>
      <c r="C440" s="6"/>
      <c r="D440" s="7"/>
      <c r="E440" s="7"/>
      <c r="F440" s="8"/>
      <c r="G440" s="9"/>
      <c r="H440" s="9"/>
      <c r="I440" s="10"/>
      <c r="J440" s="6"/>
      <c r="K440" s="4"/>
    </row>
    <row r="441" spans="2:11" ht="12.75">
      <c r="B441" s="6"/>
      <c r="C441" s="6"/>
      <c r="D441" s="7"/>
      <c r="E441" s="7"/>
      <c r="F441" s="8"/>
      <c r="G441" s="9"/>
      <c r="H441" s="9"/>
      <c r="I441" s="10"/>
      <c r="J441" s="6"/>
      <c r="K441" s="4"/>
    </row>
    <row r="442" spans="2:11" ht="12.75">
      <c r="B442" s="6"/>
      <c r="C442" s="6"/>
      <c r="D442" s="7"/>
      <c r="E442" s="7"/>
      <c r="F442" s="8"/>
      <c r="G442" s="9"/>
      <c r="H442" s="9"/>
      <c r="I442" s="10"/>
      <c r="J442" s="6"/>
      <c r="K442" s="4"/>
    </row>
    <row r="443" spans="2:11" ht="12.75">
      <c r="B443" s="6"/>
      <c r="C443" s="6"/>
      <c r="D443" s="7"/>
      <c r="E443" s="7"/>
      <c r="F443" s="8"/>
      <c r="G443" s="9"/>
      <c r="H443" s="9"/>
      <c r="I443" s="10"/>
      <c r="J443" s="6"/>
      <c r="K443" s="4"/>
    </row>
    <row r="444" spans="2:11" ht="12.75">
      <c r="B444" s="6"/>
      <c r="C444" s="6"/>
      <c r="D444" s="7"/>
      <c r="E444" s="7"/>
      <c r="F444" s="8"/>
      <c r="G444" s="9"/>
      <c r="H444" s="9"/>
      <c r="I444" s="10"/>
      <c r="J444" s="6"/>
      <c r="K444" s="4"/>
    </row>
    <row r="445" spans="2:11" ht="12.75">
      <c r="B445" s="6"/>
      <c r="C445" s="6"/>
      <c r="D445" s="7"/>
      <c r="E445" s="7"/>
      <c r="F445" s="8"/>
      <c r="G445" s="9"/>
      <c r="H445" s="9"/>
      <c r="I445" s="10"/>
      <c r="J445" s="6"/>
      <c r="K445" s="4"/>
    </row>
    <row r="446" spans="2:11" ht="12.75">
      <c r="B446" s="6"/>
      <c r="C446" s="6"/>
      <c r="D446" s="7"/>
      <c r="E446" s="7"/>
      <c r="F446" s="8"/>
      <c r="G446" s="9"/>
      <c r="H446" s="9"/>
      <c r="I446" s="10"/>
      <c r="J446" s="6"/>
      <c r="K446" s="4"/>
    </row>
    <row r="447" spans="2:11" ht="12.75">
      <c r="B447" s="6"/>
      <c r="C447" s="6"/>
      <c r="D447" s="7"/>
      <c r="E447" s="7"/>
      <c r="F447" s="8"/>
      <c r="G447" s="9"/>
      <c r="H447" s="9"/>
      <c r="I447" s="10"/>
      <c r="J447" s="6"/>
      <c r="K447" s="4"/>
    </row>
    <row r="448" spans="2:11" ht="12.75">
      <c r="B448" s="6"/>
      <c r="C448" s="6"/>
      <c r="D448" s="7"/>
      <c r="E448" s="7"/>
      <c r="F448" s="8"/>
      <c r="G448" s="9"/>
      <c r="H448" s="9"/>
      <c r="I448" s="10"/>
      <c r="J448" s="6"/>
      <c r="K448" s="4"/>
    </row>
    <row r="449" spans="2:11" ht="12.75">
      <c r="B449" s="6"/>
      <c r="C449" s="6"/>
      <c r="D449" s="7"/>
      <c r="E449" s="7"/>
      <c r="F449" s="8"/>
      <c r="G449" s="9"/>
      <c r="H449" s="9"/>
      <c r="I449" s="10"/>
      <c r="J449" s="6"/>
      <c r="K449" s="4"/>
    </row>
    <row r="450" spans="2:11" ht="12.75">
      <c r="B450" s="6"/>
      <c r="C450" s="6"/>
      <c r="D450" s="7"/>
      <c r="E450" s="7"/>
      <c r="F450" s="8"/>
      <c r="G450" s="9"/>
      <c r="H450" s="9"/>
      <c r="I450" s="10"/>
      <c r="J450" s="6"/>
      <c r="K450" s="4"/>
    </row>
    <row r="451" spans="2:11" ht="12.75">
      <c r="B451" s="6"/>
      <c r="C451" s="6"/>
      <c r="D451" s="7"/>
      <c r="E451" s="7"/>
      <c r="F451" s="8"/>
      <c r="G451" s="9"/>
      <c r="H451" s="9"/>
      <c r="I451" s="10"/>
      <c r="J451" s="6"/>
      <c r="K451" s="4"/>
    </row>
    <row r="452" spans="2:11" ht="12.75">
      <c r="B452" s="6"/>
      <c r="C452" s="6"/>
      <c r="D452" s="7"/>
      <c r="E452" s="7"/>
      <c r="F452" s="8"/>
      <c r="G452" s="9"/>
      <c r="H452" s="9"/>
      <c r="I452" s="10"/>
      <c r="J452" s="6"/>
      <c r="K452" s="4"/>
    </row>
    <row r="453" spans="2:11" ht="12.75">
      <c r="B453" s="6"/>
      <c r="C453" s="6"/>
      <c r="D453" s="7"/>
      <c r="E453" s="7"/>
      <c r="F453" s="8"/>
      <c r="G453" s="9"/>
      <c r="H453" s="9"/>
      <c r="I453" s="10"/>
      <c r="J453" s="6"/>
      <c r="K453" s="4"/>
    </row>
    <row r="454" spans="2:11" ht="12.75">
      <c r="B454" s="6"/>
      <c r="C454" s="6"/>
      <c r="D454" s="7"/>
      <c r="E454" s="7"/>
      <c r="F454" s="8"/>
      <c r="G454" s="9"/>
      <c r="H454" s="9"/>
      <c r="I454" s="10"/>
      <c r="J454" s="6"/>
      <c r="K454" s="4"/>
    </row>
    <row r="455" spans="2:11" ht="12.75">
      <c r="B455" s="6"/>
      <c r="C455" s="6"/>
      <c r="D455" s="7"/>
      <c r="E455" s="7"/>
      <c r="F455" s="8"/>
      <c r="G455" s="9"/>
      <c r="H455" s="9"/>
      <c r="I455" s="10"/>
      <c r="J455" s="6"/>
      <c r="K455" s="4"/>
    </row>
    <row r="456" spans="2:11" ht="12.75">
      <c r="B456" s="6"/>
      <c r="C456" s="6"/>
      <c r="D456" s="7"/>
      <c r="E456" s="7"/>
      <c r="F456" s="8"/>
      <c r="G456" s="9"/>
      <c r="H456" s="9"/>
      <c r="I456" s="10"/>
      <c r="J456" s="6"/>
      <c r="K456" s="4"/>
    </row>
    <row r="457" spans="2:11" ht="12.75">
      <c r="B457" s="6"/>
      <c r="C457" s="6"/>
      <c r="D457" s="7"/>
      <c r="E457" s="7"/>
      <c r="F457" s="8"/>
      <c r="G457" s="9"/>
      <c r="H457" s="9"/>
      <c r="I457" s="10"/>
      <c r="J457" s="6"/>
      <c r="K457" s="4"/>
    </row>
    <row r="458" spans="2:11" ht="12.75">
      <c r="B458" s="6"/>
      <c r="C458" s="6"/>
      <c r="D458" s="7"/>
      <c r="E458" s="7"/>
      <c r="F458" s="8"/>
      <c r="G458" s="9"/>
      <c r="H458" s="9"/>
      <c r="I458" s="10"/>
      <c r="J458" s="6"/>
      <c r="K458" s="4"/>
    </row>
    <row r="459" spans="2:11" ht="12.75">
      <c r="B459" s="6"/>
      <c r="C459" s="6"/>
      <c r="D459" s="7"/>
      <c r="E459" s="7"/>
      <c r="F459" s="8"/>
      <c r="G459" s="9"/>
      <c r="H459" s="9"/>
      <c r="I459" s="10"/>
      <c r="J459" s="6"/>
      <c r="K459" s="4"/>
    </row>
    <row r="460" spans="2:11" ht="12.75">
      <c r="B460" s="6"/>
      <c r="C460" s="6"/>
      <c r="D460" s="7"/>
      <c r="E460" s="7"/>
      <c r="F460" s="8"/>
      <c r="G460" s="9"/>
      <c r="H460" s="9"/>
      <c r="I460" s="10"/>
      <c r="J460" s="6"/>
      <c r="K460" s="4"/>
    </row>
    <row r="461" spans="2:11" ht="12.75">
      <c r="B461" s="6"/>
      <c r="C461" s="6"/>
      <c r="D461" s="7"/>
      <c r="E461" s="7"/>
      <c r="F461" s="8"/>
      <c r="G461" s="9"/>
      <c r="H461" s="9"/>
      <c r="I461" s="10"/>
      <c r="J461" s="6"/>
      <c r="K461" s="4"/>
    </row>
    <row r="462" spans="2:11" ht="12.75">
      <c r="B462" s="6"/>
      <c r="C462" s="6"/>
      <c r="D462" s="7"/>
      <c r="E462" s="7"/>
      <c r="F462" s="8"/>
      <c r="G462" s="9"/>
      <c r="H462" s="9"/>
      <c r="I462" s="10"/>
      <c r="J462" s="6"/>
      <c r="K462" s="4"/>
    </row>
    <row r="463" spans="2:11" ht="12.75">
      <c r="B463" s="6"/>
      <c r="C463" s="6"/>
      <c r="D463" s="7"/>
      <c r="E463" s="7"/>
      <c r="F463" s="8"/>
      <c r="G463" s="9"/>
      <c r="H463" s="9"/>
      <c r="I463" s="10"/>
      <c r="J463" s="6"/>
      <c r="K463" s="4"/>
    </row>
    <row r="464" spans="2:11" ht="12.75">
      <c r="B464" s="6"/>
      <c r="C464" s="6"/>
      <c r="D464" s="7"/>
      <c r="E464" s="7"/>
      <c r="F464" s="8"/>
      <c r="G464" s="9"/>
      <c r="H464" s="9"/>
      <c r="I464" s="10"/>
      <c r="J464" s="6"/>
      <c r="K464" s="4"/>
    </row>
    <row r="465" spans="2:11" ht="12.75">
      <c r="B465" s="6"/>
      <c r="C465" s="6"/>
      <c r="D465" s="7"/>
      <c r="E465" s="7"/>
      <c r="F465" s="8"/>
      <c r="G465" s="9"/>
      <c r="H465" s="9"/>
      <c r="I465" s="10"/>
      <c r="J465" s="6"/>
      <c r="K465" s="4"/>
    </row>
    <row r="466" spans="2:11" ht="12.75">
      <c r="B466" s="6"/>
      <c r="C466" s="6"/>
      <c r="D466" s="7"/>
      <c r="E466" s="7"/>
      <c r="F466" s="8"/>
      <c r="G466" s="9"/>
      <c r="H466" s="9"/>
      <c r="I466" s="10"/>
      <c r="J466" s="6"/>
      <c r="K466" s="4"/>
    </row>
    <row r="467" spans="2:11" ht="12.75">
      <c r="B467" s="6"/>
      <c r="C467" s="6"/>
      <c r="D467" s="7"/>
      <c r="E467" s="7"/>
      <c r="F467" s="8"/>
      <c r="G467" s="9"/>
      <c r="H467" s="9"/>
      <c r="I467" s="10"/>
      <c r="J467" s="6"/>
      <c r="K467" s="4"/>
    </row>
    <row r="468" spans="2:11" ht="12.75">
      <c r="B468" s="6"/>
      <c r="C468" s="6"/>
      <c r="D468" s="7"/>
      <c r="E468" s="7"/>
      <c r="F468" s="8"/>
      <c r="G468" s="9"/>
      <c r="H468" s="9"/>
      <c r="I468" s="10"/>
      <c r="J468" s="6"/>
      <c r="K468" s="4"/>
    </row>
    <row r="469" spans="2:11" ht="12.75">
      <c r="B469" s="6"/>
      <c r="C469" s="6"/>
      <c r="D469" s="7"/>
      <c r="E469" s="7"/>
      <c r="F469" s="8"/>
      <c r="G469" s="9"/>
      <c r="H469" s="9"/>
      <c r="I469" s="10"/>
      <c r="J469" s="6"/>
      <c r="K469" s="4"/>
    </row>
    <row r="470" spans="2:11" ht="12.75">
      <c r="B470" s="6"/>
      <c r="C470" s="6"/>
      <c r="D470" s="7"/>
      <c r="E470" s="7"/>
      <c r="F470" s="8"/>
      <c r="G470" s="9"/>
      <c r="H470" s="9"/>
      <c r="I470" s="10"/>
      <c r="J470" s="6"/>
      <c r="K470" s="4"/>
    </row>
    <row r="471" spans="2:11" ht="12.75">
      <c r="B471" s="6"/>
      <c r="C471" s="6"/>
      <c r="D471" s="7"/>
      <c r="E471" s="7"/>
      <c r="F471" s="8"/>
      <c r="G471" s="9"/>
      <c r="H471" s="9"/>
      <c r="I471" s="10"/>
      <c r="J471" s="6"/>
      <c r="K471" s="4"/>
    </row>
    <row r="472" spans="2:11" ht="12.75">
      <c r="B472" s="6"/>
      <c r="C472" s="6"/>
      <c r="D472" s="7"/>
      <c r="E472" s="7"/>
      <c r="F472" s="8"/>
      <c r="G472" s="9"/>
      <c r="H472" s="9"/>
      <c r="I472" s="10"/>
      <c r="J472" s="6"/>
      <c r="K472" s="4"/>
    </row>
    <row r="473" spans="2:11" ht="12.75">
      <c r="B473" s="6"/>
      <c r="C473" s="6"/>
      <c r="D473" s="7"/>
      <c r="E473" s="7"/>
      <c r="F473" s="8"/>
      <c r="G473" s="9"/>
      <c r="H473" s="9"/>
      <c r="I473" s="10"/>
      <c r="J473" s="6"/>
      <c r="K473" s="4"/>
    </row>
    <row r="474" spans="2:11" ht="12.75">
      <c r="B474" s="6"/>
      <c r="C474" s="6"/>
      <c r="D474" s="7"/>
      <c r="E474" s="7"/>
      <c r="F474" s="8"/>
      <c r="G474" s="9"/>
      <c r="H474" s="9"/>
      <c r="I474" s="10"/>
      <c r="J474" s="6"/>
      <c r="K474" s="4"/>
    </row>
    <row r="475" spans="2:11" ht="12.75">
      <c r="B475" s="6"/>
      <c r="C475" s="6"/>
      <c r="D475" s="7"/>
      <c r="E475" s="7"/>
      <c r="F475" s="8"/>
      <c r="G475" s="9"/>
      <c r="H475" s="9"/>
      <c r="I475" s="10"/>
      <c r="J475" s="6"/>
      <c r="K475" s="4"/>
    </row>
    <row r="476" spans="2:11" ht="12.75">
      <c r="B476" s="6"/>
      <c r="C476" s="6"/>
      <c r="D476" s="7"/>
      <c r="E476" s="7"/>
      <c r="F476" s="8"/>
      <c r="G476" s="9"/>
      <c r="H476" s="9"/>
      <c r="I476" s="10"/>
      <c r="J476" s="6"/>
      <c r="K476" s="4"/>
    </row>
    <row r="477" spans="2:11" ht="12.75">
      <c r="B477" s="6"/>
      <c r="C477" s="6"/>
      <c r="D477" s="7"/>
      <c r="E477" s="7"/>
      <c r="F477" s="8"/>
      <c r="G477" s="9"/>
      <c r="H477" s="9"/>
      <c r="I477" s="10"/>
      <c r="J477" s="6"/>
      <c r="K477" s="4"/>
    </row>
    <row r="478" spans="2:11" ht="12.75">
      <c r="B478" s="6"/>
      <c r="C478" s="6"/>
      <c r="D478" s="7"/>
      <c r="E478" s="7"/>
      <c r="F478" s="8"/>
      <c r="G478" s="9"/>
      <c r="H478" s="9"/>
      <c r="I478" s="10"/>
      <c r="J478" s="6"/>
      <c r="K478" s="4"/>
    </row>
    <row r="479" spans="2:11" ht="12.75">
      <c r="B479" s="6"/>
      <c r="C479" s="6"/>
      <c r="D479" s="7"/>
      <c r="E479" s="7"/>
      <c r="F479" s="8"/>
      <c r="G479" s="9"/>
      <c r="H479" s="9"/>
      <c r="I479" s="10"/>
      <c r="J479" s="6"/>
      <c r="K479" s="4"/>
    </row>
    <row r="480" spans="2:11" ht="12.75">
      <c r="B480" s="6"/>
      <c r="C480" s="6"/>
      <c r="D480" s="7"/>
      <c r="E480" s="7"/>
      <c r="F480" s="8"/>
      <c r="G480" s="9"/>
      <c r="H480" s="9"/>
      <c r="I480" s="10"/>
      <c r="J480" s="6"/>
      <c r="K480" s="4"/>
    </row>
    <row r="481" spans="2:11" ht="12.75">
      <c r="B481" s="6"/>
      <c r="C481" s="6"/>
      <c r="D481" s="7"/>
      <c r="E481" s="7"/>
      <c r="F481" s="8"/>
      <c r="G481" s="9"/>
      <c r="H481" s="9"/>
      <c r="I481" s="10"/>
      <c r="J481" s="6"/>
      <c r="K481" s="4"/>
    </row>
    <row r="482" spans="2:11" ht="12.75">
      <c r="B482" s="6"/>
      <c r="C482" s="6"/>
      <c r="D482" s="7"/>
      <c r="E482" s="7"/>
      <c r="F482" s="8"/>
      <c r="G482" s="9"/>
      <c r="H482" s="9"/>
      <c r="I482" s="10"/>
      <c r="J482" s="6"/>
      <c r="K482" s="4"/>
    </row>
    <row r="483" spans="2:11" ht="12.75">
      <c r="B483" s="6"/>
      <c r="C483" s="6"/>
      <c r="D483" s="7"/>
      <c r="E483" s="7"/>
      <c r="F483" s="8"/>
      <c r="G483" s="9"/>
      <c r="H483" s="9"/>
      <c r="I483" s="10"/>
      <c r="J483" s="6"/>
      <c r="K483" s="4"/>
    </row>
    <row r="484" spans="2:11" ht="12.75">
      <c r="B484" s="6"/>
      <c r="C484" s="6"/>
      <c r="D484" s="7"/>
      <c r="E484" s="7"/>
      <c r="F484" s="8"/>
      <c r="G484" s="9"/>
      <c r="H484" s="9"/>
      <c r="I484" s="10"/>
      <c r="J484" s="6"/>
      <c r="K484" s="4"/>
    </row>
    <row r="485" spans="2:11" ht="12.75">
      <c r="B485" s="6"/>
      <c r="C485" s="6"/>
      <c r="D485" s="7"/>
      <c r="E485" s="7"/>
      <c r="F485" s="8"/>
      <c r="G485" s="9"/>
      <c r="H485" s="9"/>
      <c r="I485" s="10"/>
      <c r="J485" s="6"/>
      <c r="K485" s="4"/>
    </row>
    <row r="486" spans="2:11" ht="12.75">
      <c r="B486" s="6"/>
      <c r="C486" s="6"/>
      <c r="D486" s="7"/>
      <c r="E486" s="7"/>
      <c r="F486" s="8"/>
      <c r="G486" s="9"/>
      <c r="H486" s="9"/>
      <c r="I486" s="10"/>
      <c r="J486" s="6"/>
      <c r="K486" s="4"/>
    </row>
    <row r="487" spans="2:11" ht="12.75">
      <c r="B487" s="6"/>
      <c r="C487" s="6"/>
      <c r="D487" s="7"/>
      <c r="E487" s="7"/>
      <c r="F487" s="8"/>
      <c r="G487" s="9"/>
      <c r="H487" s="9"/>
      <c r="I487" s="10"/>
      <c r="J487" s="6"/>
      <c r="K487" s="4"/>
    </row>
    <row r="488" spans="2:11" ht="12.75">
      <c r="B488" s="6"/>
      <c r="C488" s="6"/>
      <c r="D488" s="7"/>
      <c r="E488" s="7"/>
      <c r="F488" s="8"/>
      <c r="G488" s="9"/>
      <c r="H488" s="9"/>
      <c r="I488" s="10"/>
      <c r="J488" s="6"/>
      <c r="K488" s="4"/>
    </row>
    <row r="489" spans="2:11" ht="12.75">
      <c r="B489" s="6"/>
      <c r="C489" s="6"/>
      <c r="D489" s="7"/>
      <c r="E489" s="7"/>
      <c r="F489" s="8"/>
      <c r="G489" s="9"/>
      <c r="H489" s="9"/>
      <c r="I489" s="10"/>
      <c r="J489" s="6"/>
      <c r="K489" s="4"/>
    </row>
    <row r="490" spans="2:11" ht="12.75">
      <c r="B490" s="6"/>
      <c r="C490" s="6"/>
      <c r="D490" s="7"/>
      <c r="E490" s="7"/>
      <c r="F490" s="8"/>
      <c r="G490" s="9"/>
      <c r="H490" s="9"/>
      <c r="I490" s="10"/>
      <c r="J490" s="6"/>
      <c r="K490" s="4"/>
    </row>
    <row r="491" spans="2:11" ht="12.75">
      <c r="B491" s="6"/>
      <c r="C491" s="6"/>
      <c r="D491" s="7"/>
      <c r="E491" s="7"/>
      <c r="F491" s="8"/>
      <c r="G491" s="9"/>
      <c r="H491" s="9"/>
      <c r="I491" s="10"/>
      <c r="J491" s="6"/>
      <c r="K491" s="4"/>
    </row>
    <row r="492" spans="2:11" ht="12.75">
      <c r="B492" s="6"/>
      <c r="C492" s="6"/>
      <c r="D492" s="7"/>
      <c r="E492" s="7"/>
      <c r="F492" s="8"/>
      <c r="G492" s="9"/>
      <c r="H492" s="9"/>
      <c r="I492" s="10"/>
      <c r="J492" s="6"/>
      <c r="K492" s="4"/>
    </row>
    <row r="493" spans="2:11" ht="12.75">
      <c r="B493" s="6"/>
      <c r="C493" s="6"/>
      <c r="D493" s="7"/>
      <c r="E493" s="7"/>
      <c r="F493" s="8"/>
      <c r="G493" s="9"/>
      <c r="H493" s="9"/>
      <c r="I493" s="10"/>
      <c r="J493" s="6"/>
      <c r="K493" s="4"/>
    </row>
    <row r="494" spans="2:11" ht="12.75">
      <c r="B494" s="6"/>
      <c r="C494" s="6"/>
      <c r="D494" s="7"/>
      <c r="E494" s="7"/>
      <c r="F494" s="8"/>
      <c r="G494" s="9"/>
      <c r="H494" s="9"/>
      <c r="I494" s="10"/>
      <c r="J494" s="6"/>
      <c r="K494" s="4"/>
    </row>
    <row r="495" spans="2:11" ht="12.75">
      <c r="B495" s="6"/>
      <c r="C495" s="6"/>
      <c r="D495" s="7"/>
      <c r="E495" s="7"/>
      <c r="F495" s="8"/>
      <c r="G495" s="9"/>
      <c r="H495" s="9"/>
      <c r="I495" s="10"/>
      <c r="J495" s="6"/>
      <c r="K495" s="4"/>
    </row>
    <row r="496" spans="2:11" ht="12.75">
      <c r="B496" s="6"/>
      <c r="C496" s="6"/>
      <c r="D496" s="7"/>
      <c r="E496" s="7"/>
      <c r="F496" s="8"/>
      <c r="G496" s="9"/>
      <c r="H496" s="9"/>
      <c r="I496" s="10"/>
      <c r="J496" s="6"/>
      <c r="K496" s="4"/>
    </row>
    <row r="497" spans="2:11" ht="12.75">
      <c r="B497" s="6"/>
      <c r="C497" s="6"/>
      <c r="D497" s="7"/>
      <c r="E497" s="7"/>
      <c r="F497" s="8"/>
      <c r="G497" s="9"/>
      <c r="H497" s="9"/>
      <c r="I497" s="10"/>
      <c r="J497" s="6"/>
      <c r="K497" s="4"/>
    </row>
    <row r="498" spans="2:11" ht="12.75">
      <c r="B498" s="6"/>
      <c r="C498" s="6"/>
      <c r="D498" s="7"/>
      <c r="E498" s="7"/>
      <c r="F498" s="8"/>
      <c r="G498" s="9"/>
      <c r="H498" s="9"/>
      <c r="I498" s="10"/>
      <c r="J498" s="6"/>
      <c r="K498" s="4"/>
    </row>
    <row r="499" spans="2:11" ht="12.75">
      <c r="B499" s="6"/>
      <c r="C499" s="6"/>
      <c r="D499" s="7"/>
      <c r="E499" s="7"/>
      <c r="F499" s="8"/>
      <c r="G499" s="9"/>
      <c r="H499" s="9"/>
      <c r="I499" s="10"/>
      <c r="J499" s="6"/>
      <c r="K499" s="4"/>
    </row>
    <row r="500" spans="2:11" ht="12.75">
      <c r="B500" s="6"/>
      <c r="C500" s="6"/>
      <c r="D500" s="7"/>
      <c r="E500" s="7"/>
      <c r="F500" s="8"/>
      <c r="G500" s="9"/>
      <c r="H500" s="9"/>
      <c r="I500" s="10"/>
      <c r="J500" s="6"/>
      <c r="K500" s="4"/>
    </row>
    <row r="501" spans="2:11" ht="12.75">
      <c r="B501" s="6"/>
      <c r="C501" s="6"/>
      <c r="D501" s="7"/>
      <c r="E501" s="7"/>
      <c r="F501" s="8"/>
      <c r="G501" s="9"/>
      <c r="H501" s="9"/>
      <c r="I501" s="10"/>
      <c r="J501" s="6"/>
      <c r="K501" s="4"/>
    </row>
    <row r="502" spans="2:11" ht="12.75">
      <c r="B502" s="6"/>
      <c r="C502" s="6"/>
      <c r="D502" s="7"/>
      <c r="E502" s="7"/>
      <c r="F502" s="8"/>
      <c r="G502" s="9"/>
      <c r="H502" s="9"/>
      <c r="I502" s="10"/>
      <c r="J502" s="6"/>
      <c r="K502" s="4"/>
    </row>
    <row r="503" spans="2:11" ht="12.75">
      <c r="B503" s="6"/>
      <c r="C503" s="6"/>
      <c r="D503" s="7"/>
      <c r="E503" s="7"/>
      <c r="F503" s="8"/>
      <c r="G503" s="9"/>
      <c r="H503" s="9"/>
      <c r="I503" s="10"/>
      <c r="J503" s="6"/>
      <c r="K503" s="4"/>
    </row>
    <row r="504" spans="2:11" ht="12.75">
      <c r="B504" s="6"/>
      <c r="C504" s="6"/>
      <c r="D504" s="7"/>
      <c r="E504" s="7"/>
      <c r="F504" s="8"/>
      <c r="G504" s="9"/>
      <c r="H504" s="9"/>
      <c r="I504" s="10"/>
      <c r="J504" s="6"/>
      <c r="K504" s="4"/>
    </row>
    <row r="505" spans="2:11" ht="12.75">
      <c r="B505" s="6"/>
      <c r="C505" s="6"/>
      <c r="D505" s="7"/>
      <c r="E505" s="7"/>
      <c r="F505" s="8"/>
      <c r="G505" s="9"/>
      <c r="H505" s="9"/>
      <c r="I505" s="10"/>
      <c r="J505" s="6"/>
      <c r="K505" s="4"/>
    </row>
    <row r="506" spans="2:11" ht="12.75">
      <c r="B506" s="6"/>
      <c r="C506" s="6"/>
      <c r="D506" s="7"/>
      <c r="E506" s="7"/>
      <c r="F506" s="8"/>
      <c r="G506" s="9"/>
      <c r="H506" s="9"/>
      <c r="I506" s="10"/>
      <c r="J506" s="6"/>
      <c r="K506" s="4"/>
    </row>
    <row r="507" spans="2:11" ht="12.75">
      <c r="B507" s="6"/>
      <c r="C507" s="6"/>
      <c r="D507" s="7"/>
      <c r="E507" s="7"/>
      <c r="F507" s="8"/>
      <c r="G507" s="9"/>
      <c r="H507" s="9"/>
      <c r="I507" s="10"/>
      <c r="J507" s="6"/>
      <c r="K507" s="4"/>
    </row>
    <row r="508" spans="2:11" ht="12.75">
      <c r="B508" s="6"/>
      <c r="C508" s="6"/>
      <c r="D508" s="7"/>
      <c r="E508" s="7"/>
      <c r="F508" s="8"/>
      <c r="G508" s="9"/>
      <c r="H508" s="9"/>
      <c r="I508" s="10"/>
      <c r="J508" s="6"/>
      <c r="K508" s="4"/>
    </row>
    <row r="509" spans="2:11" ht="12.75">
      <c r="B509" s="6"/>
      <c r="C509" s="6"/>
      <c r="D509" s="7"/>
      <c r="E509" s="7"/>
      <c r="F509" s="8"/>
      <c r="G509" s="9"/>
      <c r="H509" s="9"/>
      <c r="I509" s="10"/>
      <c r="J509" s="6"/>
      <c r="K509" s="4"/>
    </row>
    <row r="510" spans="2:11" ht="12.75">
      <c r="B510" s="6"/>
      <c r="C510" s="6"/>
      <c r="D510" s="7"/>
      <c r="E510" s="7"/>
      <c r="F510" s="8"/>
      <c r="G510" s="9"/>
      <c r="H510" s="9"/>
      <c r="I510" s="10"/>
      <c r="J510" s="6"/>
      <c r="K510" s="4"/>
    </row>
    <row r="511" spans="2:11" ht="12.75">
      <c r="B511" s="6"/>
      <c r="C511" s="6"/>
      <c r="D511" s="7"/>
      <c r="E511" s="7"/>
      <c r="F511" s="8"/>
      <c r="G511" s="9"/>
      <c r="H511" s="9"/>
      <c r="I511" s="10"/>
      <c r="J511" s="6"/>
      <c r="K511" s="4"/>
    </row>
    <row r="512" spans="2:11" ht="12.75">
      <c r="B512" s="6"/>
      <c r="C512" s="6"/>
      <c r="D512" s="7"/>
      <c r="E512" s="7"/>
      <c r="F512" s="8"/>
      <c r="G512" s="9"/>
      <c r="H512" s="9"/>
      <c r="I512" s="10"/>
      <c r="J512" s="6"/>
      <c r="K512" s="4"/>
    </row>
    <row r="513" spans="2:11" ht="12.75">
      <c r="B513" s="6"/>
      <c r="C513" s="6"/>
      <c r="D513" s="7"/>
      <c r="E513" s="7"/>
      <c r="F513" s="8"/>
      <c r="G513" s="9"/>
      <c r="H513" s="9"/>
      <c r="I513" s="10"/>
      <c r="J513" s="6"/>
      <c r="K513" s="4"/>
    </row>
    <row r="514" spans="2:11" ht="12.75">
      <c r="B514" s="6"/>
      <c r="C514" s="6"/>
      <c r="D514" s="7"/>
      <c r="E514" s="7"/>
      <c r="F514" s="8"/>
      <c r="G514" s="9"/>
      <c r="H514" s="9"/>
      <c r="I514" s="10"/>
      <c r="J514" s="6"/>
      <c r="K514" s="4"/>
    </row>
    <row r="515" spans="2:11" ht="12.75">
      <c r="B515" s="6"/>
      <c r="C515" s="6"/>
      <c r="D515" s="7"/>
      <c r="E515" s="7"/>
      <c r="F515" s="8"/>
      <c r="G515" s="9"/>
      <c r="H515" s="9"/>
      <c r="I515" s="10"/>
      <c r="J515" s="6"/>
      <c r="K515" s="4"/>
    </row>
    <row r="516" spans="2:11" ht="12.75">
      <c r="B516" s="6"/>
      <c r="C516" s="6"/>
      <c r="D516" s="7"/>
      <c r="E516" s="7"/>
      <c r="F516" s="8"/>
      <c r="G516" s="9"/>
      <c r="H516" s="9"/>
      <c r="I516" s="10"/>
      <c r="J516" s="6"/>
      <c r="K516" s="4"/>
    </row>
    <row r="517" spans="2:11" ht="12.75">
      <c r="B517" s="6"/>
      <c r="C517" s="6"/>
      <c r="D517" s="7"/>
      <c r="E517" s="7"/>
      <c r="F517" s="8"/>
      <c r="G517" s="9"/>
      <c r="H517" s="9"/>
      <c r="I517" s="10"/>
      <c r="J517" s="6"/>
      <c r="K517" s="4"/>
    </row>
    <row r="518" spans="2:11" ht="12.75">
      <c r="B518" s="6"/>
      <c r="C518" s="6"/>
      <c r="D518" s="7"/>
      <c r="E518" s="7"/>
      <c r="F518" s="8"/>
      <c r="G518" s="9"/>
      <c r="H518" s="9"/>
      <c r="I518" s="10"/>
      <c r="J518" s="6"/>
      <c r="K518" s="4"/>
    </row>
    <row r="519" spans="2:11" ht="12.75">
      <c r="B519" s="6"/>
      <c r="C519" s="6"/>
      <c r="D519" s="7"/>
      <c r="E519" s="7"/>
      <c r="F519" s="8"/>
      <c r="G519" s="9"/>
      <c r="H519" s="9"/>
      <c r="I519" s="10"/>
      <c r="J519" s="6"/>
      <c r="K519" s="4"/>
    </row>
    <row r="520" spans="2:11" ht="12.75">
      <c r="B520" s="6"/>
      <c r="C520" s="6"/>
      <c r="D520" s="7"/>
      <c r="E520" s="7"/>
      <c r="F520" s="8"/>
      <c r="G520" s="9"/>
      <c r="H520" s="9"/>
      <c r="I520" s="10"/>
      <c r="J520" s="6"/>
      <c r="K520" s="4"/>
    </row>
    <row r="521" spans="2:11" ht="12.75">
      <c r="B521" s="6"/>
      <c r="C521" s="6"/>
      <c r="D521" s="7"/>
      <c r="E521" s="7"/>
      <c r="F521" s="8"/>
      <c r="G521" s="9"/>
      <c r="H521" s="9"/>
      <c r="I521" s="10"/>
      <c r="J521" s="6"/>
      <c r="K521" s="4"/>
    </row>
    <row r="522" spans="2:11" ht="12.75">
      <c r="B522" s="6"/>
      <c r="C522" s="6"/>
      <c r="D522" s="7"/>
      <c r="E522" s="7"/>
      <c r="F522" s="8"/>
      <c r="G522" s="9"/>
      <c r="H522" s="9"/>
      <c r="I522" s="10"/>
      <c r="J522" s="6"/>
      <c r="K522" s="4"/>
    </row>
    <row r="523" spans="2:11" ht="12.75">
      <c r="B523" s="6"/>
      <c r="C523" s="6"/>
      <c r="D523" s="7"/>
      <c r="E523" s="7"/>
      <c r="F523" s="8"/>
      <c r="G523" s="9"/>
      <c r="H523" s="9"/>
      <c r="I523" s="10"/>
      <c r="J523" s="6"/>
      <c r="K523" s="4"/>
    </row>
    <row r="524" spans="2:11" ht="12.75">
      <c r="B524" s="6"/>
      <c r="C524" s="6"/>
      <c r="D524" s="7"/>
      <c r="E524" s="7"/>
      <c r="F524" s="8"/>
      <c r="G524" s="9"/>
      <c r="H524" s="9"/>
      <c r="I524" s="10"/>
      <c r="J524" s="6"/>
      <c r="K524" s="4"/>
    </row>
    <row r="525" spans="2:11" ht="12.75">
      <c r="B525" s="6"/>
      <c r="C525" s="6"/>
      <c r="D525" s="7"/>
      <c r="E525" s="7"/>
      <c r="F525" s="8"/>
      <c r="G525" s="9"/>
      <c r="H525" s="9"/>
      <c r="I525" s="10"/>
      <c r="J525" s="6"/>
      <c r="K525" s="4"/>
    </row>
    <row r="526" spans="2:11" ht="12.75">
      <c r="B526" s="6"/>
      <c r="C526" s="6"/>
      <c r="D526" s="7"/>
      <c r="E526" s="7"/>
      <c r="F526" s="8"/>
      <c r="G526" s="9"/>
      <c r="H526" s="9"/>
      <c r="I526" s="10"/>
      <c r="J526" s="6"/>
      <c r="K526" s="4"/>
    </row>
    <row r="527" spans="2:11" ht="12.75">
      <c r="B527" s="6"/>
      <c r="C527" s="6"/>
      <c r="D527" s="7"/>
      <c r="E527" s="7"/>
      <c r="F527" s="8"/>
      <c r="G527" s="9"/>
      <c r="H527" s="9"/>
      <c r="I527" s="10"/>
      <c r="J527" s="6"/>
      <c r="K527" s="4"/>
    </row>
    <row r="528" spans="2:11" ht="12.75">
      <c r="B528" s="6"/>
      <c r="C528" s="6"/>
      <c r="D528" s="7"/>
      <c r="E528" s="7"/>
      <c r="F528" s="8"/>
      <c r="G528" s="9"/>
      <c r="H528" s="9"/>
      <c r="I528" s="10"/>
      <c r="J528" s="6"/>
      <c r="K528" s="4"/>
    </row>
    <row r="529" spans="2:11" ht="12.75">
      <c r="B529" s="6"/>
      <c r="C529" s="6"/>
      <c r="D529" s="7"/>
      <c r="E529" s="7"/>
      <c r="F529" s="8"/>
      <c r="G529" s="9"/>
      <c r="H529" s="9"/>
      <c r="I529" s="10"/>
      <c r="J529" s="6"/>
      <c r="K529" s="4"/>
    </row>
    <row r="530" spans="2:11" ht="12.75">
      <c r="B530" s="6"/>
      <c r="C530" s="6"/>
      <c r="D530" s="7"/>
      <c r="E530" s="7"/>
      <c r="F530" s="8"/>
      <c r="G530" s="9"/>
      <c r="H530" s="9"/>
      <c r="I530" s="10"/>
      <c r="J530" s="6"/>
      <c r="K530" s="4"/>
    </row>
    <row r="531" spans="2:11" ht="12.75">
      <c r="B531" s="6"/>
      <c r="C531" s="6"/>
      <c r="D531" s="7"/>
      <c r="E531" s="7"/>
      <c r="F531" s="8"/>
      <c r="G531" s="9"/>
      <c r="H531" s="9"/>
      <c r="I531" s="10"/>
      <c r="J531" s="6"/>
      <c r="K531" s="4"/>
    </row>
    <row r="532" spans="2:11" ht="12.75">
      <c r="B532" s="6"/>
      <c r="C532" s="6"/>
      <c r="D532" s="7"/>
      <c r="E532" s="7"/>
      <c r="F532" s="8"/>
      <c r="G532" s="9"/>
      <c r="H532" s="9"/>
      <c r="I532" s="10"/>
      <c r="J532" s="6"/>
      <c r="K532" s="4"/>
    </row>
    <row r="533" spans="2:11" ht="12.75">
      <c r="B533" s="6"/>
      <c r="C533" s="6"/>
      <c r="D533" s="7"/>
      <c r="E533" s="7"/>
      <c r="F533" s="8"/>
      <c r="G533" s="9"/>
      <c r="H533" s="9"/>
      <c r="I533" s="10"/>
      <c r="J533" s="6"/>
      <c r="K533" s="4"/>
    </row>
    <row r="534" spans="2:11" ht="12.75">
      <c r="B534" s="6"/>
      <c r="C534" s="6"/>
      <c r="D534" s="7"/>
      <c r="E534" s="7"/>
      <c r="F534" s="8"/>
      <c r="G534" s="9"/>
      <c r="H534" s="9"/>
      <c r="I534" s="10"/>
      <c r="J534" s="6"/>
      <c r="K534" s="4"/>
    </row>
    <row r="535" spans="2:11" ht="12.75">
      <c r="B535" s="6"/>
      <c r="C535" s="6"/>
      <c r="D535" s="7"/>
      <c r="E535" s="7"/>
      <c r="F535" s="8"/>
      <c r="G535" s="9"/>
      <c r="H535" s="9"/>
      <c r="I535" s="10"/>
      <c r="J535" s="6"/>
      <c r="K535" s="4"/>
    </row>
    <row r="536" spans="2:11" ht="12.75">
      <c r="B536" s="6"/>
      <c r="C536" s="6"/>
      <c r="D536" s="7"/>
      <c r="E536" s="7"/>
      <c r="F536" s="8"/>
      <c r="G536" s="9"/>
      <c r="H536" s="9"/>
      <c r="I536" s="10"/>
      <c r="J536" s="6"/>
      <c r="K536" s="4"/>
    </row>
    <row r="537" spans="2:11" ht="12.75">
      <c r="B537" s="6"/>
      <c r="C537" s="6"/>
      <c r="D537" s="7"/>
      <c r="E537" s="7"/>
      <c r="F537" s="8"/>
      <c r="G537" s="9"/>
      <c r="H537" s="9"/>
      <c r="I537" s="10"/>
      <c r="J537" s="6"/>
      <c r="K537" s="4"/>
    </row>
    <row r="538" spans="2:11" ht="12.75">
      <c r="B538" s="6"/>
      <c r="C538" s="6"/>
      <c r="D538" s="7"/>
      <c r="E538" s="7"/>
      <c r="F538" s="8"/>
      <c r="G538" s="9"/>
      <c r="H538" s="9"/>
      <c r="I538" s="10"/>
      <c r="J538" s="6"/>
      <c r="K538" s="4"/>
    </row>
    <row r="539" spans="2:11" ht="12.75">
      <c r="B539" s="6"/>
      <c r="C539" s="6"/>
      <c r="D539" s="7"/>
      <c r="E539" s="7"/>
      <c r="F539" s="8"/>
      <c r="G539" s="9"/>
      <c r="H539" s="9"/>
      <c r="I539" s="10"/>
      <c r="J539" s="6"/>
      <c r="K539" s="4"/>
    </row>
    <row r="540" spans="2:11" ht="12.75">
      <c r="B540" s="6"/>
      <c r="C540" s="6"/>
      <c r="D540" s="7"/>
      <c r="E540" s="7"/>
      <c r="F540" s="8"/>
      <c r="G540" s="9"/>
      <c r="H540" s="9"/>
      <c r="I540" s="10"/>
      <c r="J540" s="6"/>
      <c r="K540" s="4"/>
    </row>
    <row r="541" spans="2:11" ht="12.75">
      <c r="B541" s="6"/>
      <c r="C541" s="6"/>
      <c r="D541" s="7"/>
      <c r="E541" s="7"/>
      <c r="F541" s="8"/>
      <c r="G541" s="9"/>
      <c r="H541" s="9"/>
      <c r="I541" s="10"/>
      <c r="J541" s="6"/>
      <c r="K541" s="4"/>
    </row>
    <row r="542" spans="2:11" ht="12.75">
      <c r="B542" s="6"/>
      <c r="C542" s="6"/>
      <c r="D542" s="7"/>
      <c r="E542" s="7"/>
      <c r="F542" s="8"/>
      <c r="G542" s="9"/>
      <c r="H542" s="9"/>
      <c r="I542" s="10"/>
      <c r="J542" s="6"/>
      <c r="K542" s="4"/>
    </row>
    <row r="543" spans="2:11" ht="12.75">
      <c r="B543" s="6"/>
      <c r="C543" s="6"/>
      <c r="D543" s="7"/>
      <c r="E543" s="7"/>
      <c r="F543" s="8"/>
      <c r="G543" s="9"/>
      <c r="H543" s="9"/>
      <c r="I543" s="10"/>
      <c r="J543" s="6"/>
      <c r="K543" s="4"/>
    </row>
    <row r="544" spans="2:11" ht="12.75">
      <c r="B544" s="6"/>
      <c r="C544" s="6"/>
      <c r="D544" s="7"/>
      <c r="E544" s="7"/>
      <c r="F544" s="8"/>
      <c r="G544" s="9"/>
      <c r="H544" s="9"/>
      <c r="I544" s="10"/>
      <c r="J544" s="6"/>
      <c r="K544" s="4"/>
    </row>
    <row r="545" spans="2:11" ht="12.75">
      <c r="B545" s="6"/>
      <c r="C545" s="6"/>
      <c r="D545" s="7"/>
      <c r="E545" s="7"/>
      <c r="F545" s="8"/>
      <c r="G545" s="9"/>
      <c r="H545" s="9"/>
      <c r="I545" s="10"/>
      <c r="J545" s="6"/>
      <c r="K545" s="4"/>
    </row>
    <row r="546" spans="2:11" ht="12.75">
      <c r="B546" s="6"/>
      <c r="C546" s="6"/>
      <c r="D546" s="7"/>
      <c r="E546" s="7"/>
      <c r="F546" s="8"/>
      <c r="G546" s="9"/>
      <c r="H546" s="9"/>
      <c r="I546" s="10"/>
      <c r="J546" s="6"/>
      <c r="K546" s="4"/>
    </row>
    <row r="547" spans="2:11" ht="12.75">
      <c r="B547" s="6"/>
      <c r="C547" s="6"/>
      <c r="D547" s="7"/>
      <c r="E547" s="7"/>
      <c r="F547" s="8"/>
      <c r="G547" s="9"/>
      <c r="H547" s="9"/>
      <c r="I547" s="10"/>
      <c r="J547" s="6"/>
      <c r="K547" s="4"/>
    </row>
    <row r="548" spans="2:11" ht="12.75">
      <c r="B548" s="6"/>
      <c r="C548" s="6"/>
      <c r="D548" s="7"/>
      <c r="E548" s="7"/>
      <c r="F548" s="8"/>
      <c r="G548" s="9"/>
      <c r="H548" s="9"/>
      <c r="I548" s="10"/>
      <c r="J548" s="6"/>
      <c r="K548" s="4"/>
    </row>
    <row r="549" spans="2:11" ht="12.75">
      <c r="B549" s="6"/>
      <c r="C549" s="6"/>
      <c r="D549" s="7"/>
      <c r="E549" s="7"/>
      <c r="F549" s="8"/>
      <c r="G549" s="9"/>
      <c r="H549" s="9"/>
      <c r="I549" s="10"/>
      <c r="J549" s="6"/>
      <c r="K549" s="4"/>
    </row>
    <row r="550" spans="2:11" ht="12.75">
      <c r="B550" s="6"/>
      <c r="C550" s="6"/>
      <c r="D550" s="7"/>
      <c r="E550" s="7"/>
      <c r="F550" s="8"/>
      <c r="G550" s="9"/>
      <c r="H550" s="9"/>
      <c r="I550" s="10"/>
      <c r="J550" s="6"/>
      <c r="K550" s="4"/>
    </row>
    <row r="551" spans="2:11" ht="12.75">
      <c r="B551" s="6"/>
      <c r="C551" s="6"/>
      <c r="D551" s="7"/>
      <c r="E551" s="7"/>
      <c r="F551" s="8"/>
      <c r="G551" s="9"/>
      <c r="H551" s="9"/>
      <c r="I551" s="10"/>
      <c r="J551" s="6"/>
      <c r="K551" s="4"/>
    </row>
    <row r="552" spans="2:11" ht="12.75">
      <c r="B552" s="6"/>
      <c r="C552" s="6"/>
      <c r="D552" s="7"/>
      <c r="E552" s="7"/>
      <c r="F552" s="8"/>
      <c r="G552" s="9"/>
      <c r="H552" s="9"/>
      <c r="I552" s="10"/>
      <c r="J552" s="6"/>
      <c r="K552" s="4"/>
    </row>
    <row r="553" spans="2:11" ht="12.75">
      <c r="B553" s="6"/>
      <c r="C553" s="6"/>
      <c r="D553" s="7"/>
      <c r="E553" s="7"/>
      <c r="F553" s="8"/>
      <c r="G553" s="9"/>
      <c r="H553" s="9"/>
      <c r="I553" s="10"/>
      <c r="J553" s="6"/>
      <c r="K553" s="4"/>
    </row>
    <row r="554" spans="2:11" ht="12.75">
      <c r="B554" s="6"/>
      <c r="C554" s="6"/>
      <c r="D554" s="7"/>
      <c r="E554" s="7"/>
      <c r="F554" s="8"/>
      <c r="G554" s="9"/>
      <c r="H554" s="9"/>
      <c r="I554" s="10"/>
      <c r="J554" s="6"/>
      <c r="K554" s="4"/>
    </row>
    <row r="555" spans="2:11" ht="12.75">
      <c r="B555" s="6"/>
      <c r="C555" s="6"/>
      <c r="D555" s="7"/>
      <c r="E555" s="7"/>
      <c r="F555" s="8"/>
      <c r="G555" s="9"/>
      <c r="H555" s="9"/>
      <c r="I555" s="10"/>
      <c r="J555" s="6"/>
      <c r="K555" s="4"/>
    </row>
    <row r="556" spans="2:11" ht="12.75">
      <c r="B556" s="6"/>
      <c r="C556" s="6"/>
      <c r="D556" s="7"/>
      <c r="E556" s="7"/>
      <c r="F556" s="8"/>
      <c r="G556" s="9"/>
      <c r="H556" s="9"/>
      <c r="I556" s="10"/>
      <c r="J556" s="6"/>
      <c r="K556" s="4"/>
    </row>
    <row r="557" spans="2:11" ht="12.75">
      <c r="B557" s="6"/>
      <c r="C557" s="6"/>
      <c r="D557" s="7"/>
      <c r="E557" s="7"/>
      <c r="F557" s="8"/>
      <c r="G557" s="9"/>
      <c r="H557" s="9"/>
      <c r="I557" s="10"/>
      <c r="J557" s="6"/>
      <c r="K557" s="4"/>
    </row>
    <row r="558" spans="2:11" ht="12.75">
      <c r="B558" s="6"/>
      <c r="C558" s="6"/>
      <c r="D558" s="7"/>
      <c r="E558" s="7"/>
      <c r="F558" s="8"/>
      <c r="G558" s="9"/>
      <c r="H558" s="9"/>
      <c r="I558" s="10"/>
      <c r="J558" s="6"/>
      <c r="K558" s="4"/>
    </row>
    <row r="559" spans="2:11" ht="12.75">
      <c r="B559" s="6"/>
      <c r="C559" s="6"/>
      <c r="D559" s="7"/>
      <c r="E559" s="7"/>
      <c r="F559" s="8"/>
      <c r="G559" s="9"/>
      <c r="H559" s="9"/>
      <c r="I559" s="10"/>
      <c r="J559" s="6"/>
      <c r="K559" s="4"/>
    </row>
    <row r="560" spans="2:11" ht="12.75">
      <c r="B560" s="6"/>
      <c r="C560" s="6"/>
      <c r="D560" s="7"/>
      <c r="E560" s="7"/>
      <c r="F560" s="8"/>
      <c r="G560" s="9"/>
      <c r="H560" s="9"/>
      <c r="I560" s="10"/>
      <c r="J560" s="6"/>
      <c r="K560" s="4"/>
    </row>
    <row r="561" spans="2:11" ht="12.75">
      <c r="B561" s="6"/>
      <c r="C561" s="6"/>
      <c r="D561" s="7"/>
      <c r="E561" s="7"/>
      <c r="F561" s="8"/>
      <c r="G561" s="9"/>
      <c r="H561" s="9"/>
      <c r="I561" s="10"/>
      <c r="J561" s="6"/>
      <c r="K561" s="4"/>
    </row>
    <row r="562" spans="2:11" ht="12.75">
      <c r="B562" s="6"/>
      <c r="C562" s="6"/>
      <c r="D562" s="7"/>
      <c r="E562" s="7"/>
      <c r="F562" s="8"/>
      <c r="G562" s="9"/>
      <c r="H562" s="9"/>
      <c r="I562" s="10"/>
      <c r="J562" s="6"/>
      <c r="K562" s="4"/>
    </row>
    <row r="563" spans="2:11" ht="12.75">
      <c r="B563" s="6"/>
      <c r="C563" s="6"/>
      <c r="D563" s="7"/>
      <c r="E563" s="7"/>
      <c r="F563" s="8"/>
      <c r="G563" s="9"/>
      <c r="H563" s="9"/>
      <c r="I563" s="10"/>
      <c r="J563" s="6"/>
      <c r="K563" s="4"/>
    </row>
    <row r="564" spans="2:11" ht="12.75">
      <c r="B564" s="6"/>
      <c r="C564" s="6"/>
      <c r="D564" s="7"/>
      <c r="E564" s="7"/>
      <c r="F564" s="8"/>
      <c r="G564" s="9"/>
      <c r="H564" s="9"/>
      <c r="I564" s="10"/>
      <c r="J564" s="6"/>
      <c r="K564" s="4"/>
    </row>
    <row r="565" spans="2:11" ht="12.75">
      <c r="B565" s="6"/>
      <c r="C565" s="6"/>
      <c r="D565" s="7"/>
      <c r="E565" s="7"/>
      <c r="F565" s="8"/>
      <c r="G565" s="9"/>
      <c r="H565" s="9"/>
      <c r="I565" s="10"/>
      <c r="J565" s="6"/>
      <c r="K565" s="4"/>
    </row>
    <row r="566" spans="2:11" ht="12.75">
      <c r="B566" s="6"/>
      <c r="C566" s="6"/>
      <c r="D566" s="7"/>
      <c r="E566" s="7"/>
      <c r="F566" s="8"/>
      <c r="G566" s="9"/>
      <c r="H566" s="9"/>
      <c r="I566" s="10"/>
      <c r="J566" s="6"/>
      <c r="K566" s="4"/>
    </row>
    <row r="567" spans="2:11" ht="12.75">
      <c r="B567" s="6"/>
      <c r="C567" s="6"/>
      <c r="D567" s="7"/>
      <c r="E567" s="7"/>
      <c r="F567" s="8"/>
      <c r="G567" s="9"/>
      <c r="H567" s="9"/>
      <c r="I567" s="10"/>
      <c r="J567" s="6"/>
      <c r="K567" s="4"/>
    </row>
    <row r="568" spans="2:11" ht="12.75">
      <c r="B568" s="6"/>
      <c r="C568" s="6"/>
      <c r="D568" s="7"/>
      <c r="E568" s="7"/>
      <c r="F568" s="8"/>
      <c r="G568" s="9"/>
      <c r="H568" s="9"/>
      <c r="I568" s="10"/>
      <c r="J568" s="6"/>
      <c r="K568" s="4"/>
    </row>
    <row r="569" spans="2:11" ht="12.75">
      <c r="B569" s="6"/>
      <c r="C569" s="6"/>
      <c r="D569" s="7"/>
      <c r="E569" s="7"/>
      <c r="F569" s="8"/>
      <c r="G569" s="9"/>
      <c r="H569" s="9"/>
      <c r="I569" s="10"/>
      <c r="J569" s="6"/>
      <c r="K569" s="4"/>
    </row>
    <row r="570" spans="2:11" ht="12.75">
      <c r="B570" s="6"/>
      <c r="C570" s="6"/>
      <c r="D570" s="7"/>
      <c r="E570" s="7"/>
      <c r="F570" s="8"/>
      <c r="G570" s="9"/>
      <c r="H570" s="9"/>
      <c r="I570" s="10"/>
      <c r="J570" s="6"/>
      <c r="K570" s="4"/>
    </row>
    <row r="571" spans="2:11" ht="12.75">
      <c r="B571" s="6"/>
      <c r="C571" s="6"/>
      <c r="D571" s="7"/>
      <c r="E571" s="7"/>
      <c r="F571" s="8"/>
      <c r="G571" s="9"/>
      <c r="H571" s="9"/>
      <c r="I571" s="10"/>
      <c r="J571" s="6"/>
      <c r="K571" s="4"/>
    </row>
    <row r="572" spans="2:11" ht="12.75">
      <c r="B572" s="6"/>
      <c r="C572" s="6"/>
      <c r="D572" s="7"/>
      <c r="E572" s="7"/>
      <c r="F572" s="8"/>
      <c r="G572" s="9"/>
      <c r="H572" s="9"/>
      <c r="I572" s="10"/>
      <c r="J572" s="6"/>
      <c r="K572" s="4"/>
    </row>
    <row r="573" spans="2:11" ht="12.75">
      <c r="B573" s="6"/>
      <c r="C573" s="6"/>
      <c r="D573" s="7"/>
      <c r="E573" s="7"/>
      <c r="F573" s="8"/>
      <c r="G573" s="9"/>
      <c r="H573" s="9"/>
      <c r="I573" s="10"/>
      <c r="J573" s="6"/>
      <c r="K573" s="4"/>
    </row>
    <row r="574" spans="2:11" ht="12.75">
      <c r="B574" s="6"/>
      <c r="C574" s="6"/>
      <c r="D574" s="7"/>
      <c r="E574" s="7"/>
      <c r="F574" s="8"/>
      <c r="G574" s="9"/>
      <c r="H574" s="9"/>
      <c r="I574" s="10"/>
      <c r="J574" s="6"/>
      <c r="K574" s="4"/>
    </row>
    <row r="575" spans="2:11" ht="12.75">
      <c r="B575" s="6"/>
      <c r="C575" s="6"/>
      <c r="D575" s="7"/>
      <c r="E575" s="7"/>
      <c r="F575" s="8"/>
      <c r="G575" s="9"/>
      <c r="H575" s="9"/>
      <c r="I575" s="10"/>
      <c r="J575" s="6"/>
      <c r="K575" s="4"/>
    </row>
    <row r="576" spans="2:11" ht="12.75">
      <c r="B576" s="6"/>
      <c r="C576" s="6"/>
      <c r="D576" s="7"/>
      <c r="E576" s="7"/>
      <c r="F576" s="8"/>
      <c r="G576" s="9"/>
      <c r="H576" s="9"/>
      <c r="I576" s="10"/>
      <c r="J576" s="6"/>
      <c r="K576" s="4"/>
    </row>
    <row r="577" spans="2:11" ht="12.75">
      <c r="B577" s="6"/>
      <c r="C577" s="6"/>
      <c r="D577" s="7"/>
      <c r="E577" s="7"/>
      <c r="F577" s="8"/>
      <c r="G577" s="9"/>
      <c r="H577" s="9"/>
      <c r="I577" s="10"/>
      <c r="J577" s="6"/>
      <c r="K577" s="4"/>
    </row>
    <row r="578" spans="2:11" ht="12.75">
      <c r="B578" s="6"/>
      <c r="C578" s="6"/>
      <c r="D578" s="7"/>
      <c r="E578" s="7"/>
      <c r="F578" s="8"/>
      <c r="G578" s="9"/>
      <c r="H578" s="9"/>
      <c r="I578" s="10"/>
      <c r="J578" s="6"/>
      <c r="K578" s="4"/>
    </row>
    <row r="579" spans="2:11" ht="12.75">
      <c r="B579" s="6"/>
      <c r="C579" s="6"/>
      <c r="D579" s="7"/>
      <c r="E579" s="7"/>
      <c r="F579" s="8"/>
      <c r="G579" s="9"/>
      <c r="H579" s="9"/>
      <c r="I579" s="10"/>
      <c r="J579" s="6"/>
      <c r="K579" s="4"/>
    </row>
    <row r="580" spans="2:11" ht="12.75">
      <c r="B580" s="6"/>
      <c r="C580" s="6"/>
      <c r="D580" s="7"/>
      <c r="E580" s="7"/>
      <c r="F580" s="8"/>
      <c r="G580" s="9"/>
      <c r="H580" s="9"/>
      <c r="I580" s="10"/>
      <c r="J580" s="6"/>
      <c r="K580" s="4"/>
    </row>
    <row r="581" spans="2:11" ht="12.75">
      <c r="B581" s="6"/>
      <c r="C581" s="6"/>
      <c r="D581" s="7"/>
      <c r="E581" s="7"/>
      <c r="F581" s="8"/>
      <c r="G581" s="9"/>
      <c r="H581" s="9"/>
      <c r="I581" s="10"/>
      <c r="J581" s="6"/>
      <c r="K581" s="4"/>
    </row>
    <row r="582" spans="2:11" ht="12.75">
      <c r="B582" s="6"/>
      <c r="C582" s="6"/>
      <c r="D582" s="7"/>
      <c r="E582" s="7"/>
      <c r="F582" s="8"/>
      <c r="G582" s="9"/>
      <c r="H582" s="9"/>
      <c r="I582" s="10"/>
      <c r="J582" s="6"/>
      <c r="K582" s="4"/>
    </row>
    <row r="583" spans="2:11" ht="12.75">
      <c r="B583" s="6"/>
      <c r="C583" s="6"/>
      <c r="D583" s="7"/>
      <c r="E583" s="7"/>
      <c r="F583" s="8"/>
      <c r="G583" s="9"/>
      <c r="H583" s="9"/>
      <c r="I583" s="10"/>
      <c r="J583" s="6"/>
      <c r="K583" s="4"/>
    </row>
    <row r="584" spans="2:11" ht="12.75">
      <c r="B584" s="6"/>
      <c r="C584" s="6"/>
      <c r="D584" s="7"/>
      <c r="E584" s="7"/>
      <c r="F584" s="8"/>
      <c r="G584" s="9"/>
      <c r="H584" s="9"/>
      <c r="I584" s="10"/>
      <c r="J584" s="6"/>
      <c r="K584" s="4"/>
    </row>
    <row r="585" spans="2:11" ht="12.75">
      <c r="B585" s="6"/>
      <c r="C585" s="6"/>
      <c r="D585" s="7"/>
      <c r="E585" s="7"/>
      <c r="F585" s="8"/>
      <c r="G585" s="9"/>
      <c r="H585" s="9"/>
      <c r="I585" s="10"/>
      <c r="J585" s="6"/>
      <c r="K585" s="4"/>
    </row>
    <row r="586" spans="2:11" ht="12.75">
      <c r="B586" s="6"/>
      <c r="C586" s="6"/>
      <c r="D586" s="7"/>
      <c r="E586" s="7"/>
      <c r="F586" s="8"/>
      <c r="G586" s="9"/>
      <c r="H586" s="9"/>
      <c r="I586" s="10"/>
      <c r="J586" s="6"/>
      <c r="K586" s="4"/>
    </row>
    <row r="587" spans="2:11" ht="12.75">
      <c r="B587" s="6"/>
      <c r="C587" s="6"/>
      <c r="D587" s="7"/>
      <c r="E587" s="7"/>
      <c r="F587" s="8"/>
      <c r="G587" s="9"/>
      <c r="H587" s="9"/>
      <c r="I587" s="10"/>
      <c r="J587" s="6"/>
      <c r="K587" s="4"/>
    </row>
    <row r="588" spans="2:11" ht="12.75">
      <c r="B588" s="6"/>
      <c r="C588" s="6"/>
      <c r="D588" s="7"/>
      <c r="E588" s="7"/>
      <c r="F588" s="8"/>
      <c r="G588" s="9"/>
      <c r="H588" s="9"/>
      <c r="I588" s="10"/>
      <c r="J588" s="6"/>
      <c r="K588" s="4"/>
    </row>
    <row r="589" spans="2:11" ht="12.75">
      <c r="B589" s="6"/>
      <c r="C589" s="6"/>
      <c r="D589" s="7"/>
      <c r="E589" s="7"/>
      <c r="F589" s="8"/>
      <c r="G589" s="9"/>
      <c r="H589" s="9"/>
      <c r="I589" s="10"/>
      <c r="J589" s="6"/>
      <c r="K589" s="4"/>
    </row>
    <row r="590" spans="2:11" ht="12.75">
      <c r="B590" s="6"/>
      <c r="C590" s="6"/>
      <c r="D590" s="7"/>
      <c r="E590" s="7"/>
      <c r="F590" s="8"/>
      <c r="G590" s="9"/>
      <c r="H590" s="9"/>
      <c r="I590" s="10"/>
      <c r="J590" s="6"/>
      <c r="K590" s="4"/>
    </row>
    <row r="591" spans="2:11" ht="12.75">
      <c r="B591" s="6"/>
      <c r="C591" s="6"/>
      <c r="D591" s="7"/>
      <c r="E591" s="7"/>
      <c r="F591" s="8"/>
      <c r="G591" s="9"/>
      <c r="H591" s="9"/>
      <c r="I591" s="10"/>
      <c r="J591" s="6"/>
      <c r="K591" s="4"/>
    </row>
    <row r="592" spans="2:11" ht="12.75">
      <c r="B592" s="6"/>
      <c r="C592" s="6"/>
      <c r="D592" s="7"/>
      <c r="E592" s="7"/>
      <c r="F592" s="8"/>
      <c r="G592" s="9"/>
      <c r="H592" s="9"/>
      <c r="I592" s="10"/>
      <c r="J592" s="6"/>
      <c r="K592" s="4"/>
    </row>
    <row r="593" spans="2:11" ht="12.75">
      <c r="B593" s="6"/>
      <c r="C593" s="6"/>
      <c r="D593" s="7"/>
      <c r="E593" s="7"/>
      <c r="F593" s="8"/>
      <c r="G593" s="9"/>
      <c r="H593" s="9"/>
      <c r="I593" s="10"/>
      <c r="J593" s="6"/>
      <c r="K593" s="4"/>
    </row>
    <row r="594" spans="2:11" ht="12.75">
      <c r="B594" s="6"/>
      <c r="C594" s="6"/>
      <c r="D594" s="7"/>
      <c r="E594" s="7"/>
      <c r="F594" s="8"/>
      <c r="G594" s="9"/>
      <c r="H594" s="9"/>
      <c r="I594" s="10"/>
      <c r="J594" s="6"/>
      <c r="K594" s="4"/>
    </row>
    <row r="595" spans="2:11" ht="12.75">
      <c r="B595" s="6"/>
      <c r="C595" s="6"/>
      <c r="D595" s="7"/>
      <c r="E595" s="7"/>
      <c r="F595" s="8"/>
      <c r="G595" s="9"/>
      <c r="H595" s="9"/>
      <c r="I595" s="10"/>
      <c r="J595" s="6"/>
      <c r="K595" s="4"/>
    </row>
    <row r="596" spans="2:11" ht="12.75">
      <c r="B596" s="6"/>
      <c r="C596" s="6"/>
      <c r="D596" s="7"/>
      <c r="E596" s="7"/>
      <c r="F596" s="8"/>
      <c r="G596" s="9"/>
      <c r="H596" s="9"/>
      <c r="I596" s="10"/>
      <c r="J596" s="6"/>
      <c r="K596" s="4"/>
    </row>
    <row r="597" spans="2:11" ht="12.75">
      <c r="B597" s="6"/>
      <c r="C597" s="6"/>
      <c r="D597" s="7"/>
      <c r="E597" s="7"/>
      <c r="F597" s="8"/>
      <c r="G597" s="9"/>
      <c r="H597" s="9"/>
      <c r="I597" s="10"/>
      <c r="J597" s="6"/>
      <c r="K597" s="4"/>
    </row>
    <row r="598" spans="2:11" ht="12.75">
      <c r="B598" s="6"/>
      <c r="C598" s="6"/>
      <c r="D598" s="7"/>
      <c r="E598" s="7"/>
      <c r="F598" s="8"/>
      <c r="G598" s="9"/>
      <c r="H598" s="9"/>
      <c r="I598" s="10"/>
      <c r="J598" s="6"/>
      <c r="K598" s="4"/>
    </row>
    <row r="599" spans="2:11" ht="12.75">
      <c r="B599" s="6"/>
      <c r="C599" s="6"/>
      <c r="D599" s="7"/>
      <c r="E599" s="7"/>
      <c r="F599" s="8"/>
      <c r="G599" s="9"/>
      <c r="H599" s="9"/>
      <c r="I599" s="10"/>
      <c r="J599" s="6"/>
      <c r="K599" s="4"/>
    </row>
    <row r="600" spans="2:11" ht="12.75">
      <c r="B600" s="6"/>
      <c r="C600" s="6"/>
      <c r="D600" s="7"/>
      <c r="E600" s="7"/>
      <c r="F600" s="8"/>
      <c r="G600" s="9"/>
      <c r="H600" s="9"/>
      <c r="I600" s="10"/>
      <c r="J600" s="6"/>
      <c r="K600" s="4"/>
    </row>
    <row r="601" spans="2:11" ht="12.75">
      <c r="B601" s="6"/>
      <c r="C601" s="6"/>
      <c r="D601" s="7"/>
      <c r="E601" s="7"/>
      <c r="F601" s="8"/>
      <c r="G601" s="9"/>
      <c r="H601" s="9"/>
      <c r="I601" s="10"/>
      <c r="J601" s="6"/>
      <c r="K601" s="4"/>
    </row>
    <row r="602" spans="2:11" ht="12.75">
      <c r="B602" s="6"/>
      <c r="C602" s="6"/>
      <c r="D602" s="7"/>
      <c r="E602" s="7"/>
      <c r="F602" s="8"/>
      <c r="G602" s="9"/>
      <c r="H602" s="9"/>
      <c r="I602" s="10"/>
      <c r="J602" s="6"/>
      <c r="K602" s="4"/>
    </row>
    <row r="603" spans="2:11" ht="12.75">
      <c r="B603" s="6"/>
      <c r="C603" s="6"/>
      <c r="D603" s="7"/>
      <c r="E603" s="7"/>
      <c r="F603" s="8"/>
      <c r="G603" s="9"/>
      <c r="H603" s="9"/>
      <c r="I603" s="10"/>
      <c r="J603" s="6"/>
      <c r="K603" s="4"/>
    </row>
    <row r="604" spans="2:11" ht="12.75">
      <c r="B604" s="6"/>
      <c r="C604" s="6"/>
      <c r="D604" s="7"/>
      <c r="E604" s="7"/>
      <c r="F604" s="8"/>
      <c r="G604" s="9"/>
      <c r="H604" s="9"/>
      <c r="I604" s="10"/>
      <c r="J604" s="6"/>
      <c r="K604" s="4"/>
    </row>
    <row r="605" spans="2:11" ht="12.75">
      <c r="B605" s="6"/>
      <c r="C605" s="6"/>
      <c r="D605" s="7"/>
      <c r="E605" s="7"/>
      <c r="F605" s="8"/>
      <c r="G605" s="9"/>
      <c r="H605" s="9"/>
      <c r="I605" s="10"/>
      <c r="J605" s="6"/>
      <c r="K605" s="4"/>
    </row>
    <row r="606" spans="2:11" ht="12.75">
      <c r="B606" s="6"/>
      <c r="C606" s="6"/>
      <c r="D606" s="7"/>
      <c r="E606" s="7"/>
      <c r="F606" s="8"/>
      <c r="G606" s="9"/>
      <c r="H606" s="9"/>
      <c r="I606" s="10"/>
      <c r="J606" s="6"/>
      <c r="K606" s="4"/>
    </row>
    <row r="607" spans="2:11" ht="12.75">
      <c r="B607" s="6"/>
      <c r="C607" s="6"/>
      <c r="D607" s="7"/>
      <c r="E607" s="7"/>
      <c r="F607" s="8"/>
      <c r="G607" s="9"/>
      <c r="H607" s="9"/>
      <c r="I607" s="10"/>
      <c r="J607" s="6"/>
      <c r="K607" s="4"/>
    </row>
    <row r="608" spans="2:11" ht="12.75">
      <c r="B608" s="6"/>
      <c r="C608" s="6"/>
      <c r="D608" s="7"/>
      <c r="E608" s="7"/>
      <c r="F608" s="8"/>
      <c r="G608" s="9"/>
      <c r="H608" s="9"/>
      <c r="I608" s="10"/>
      <c r="J608" s="6"/>
      <c r="K608" s="4"/>
    </row>
    <row r="609" spans="2:11" ht="12.75">
      <c r="B609" s="6"/>
      <c r="C609" s="6"/>
      <c r="D609" s="7"/>
      <c r="E609" s="7"/>
      <c r="F609" s="8"/>
      <c r="G609" s="9"/>
      <c r="H609" s="9"/>
      <c r="I609" s="10"/>
      <c r="J609" s="6"/>
      <c r="K609" s="4"/>
    </row>
    <row r="610" spans="2:11" ht="12.75">
      <c r="B610" s="6"/>
      <c r="C610" s="6"/>
      <c r="D610" s="7"/>
      <c r="E610" s="7"/>
      <c r="F610" s="8"/>
      <c r="G610" s="9"/>
      <c r="H610" s="9"/>
      <c r="I610" s="10"/>
      <c r="J610" s="6"/>
      <c r="K610" s="4"/>
    </row>
    <row r="611" spans="2:11" ht="12.75">
      <c r="B611" s="6"/>
      <c r="C611" s="6"/>
      <c r="D611" s="7"/>
      <c r="E611" s="7"/>
      <c r="F611" s="8"/>
      <c r="G611" s="9"/>
      <c r="H611" s="9"/>
      <c r="I611" s="10"/>
      <c r="J611" s="6"/>
      <c r="K611" s="4"/>
    </row>
    <row r="612" spans="2:11" ht="12.75">
      <c r="B612" s="6"/>
      <c r="C612" s="6"/>
      <c r="D612" s="7"/>
      <c r="E612" s="7"/>
      <c r="F612" s="8"/>
      <c r="G612" s="9"/>
      <c r="H612" s="9"/>
      <c r="I612" s="10"/>
      <c r="J612" s="6"/>
      <c r="K612" s="4"/>
    </row>
    <row r="613" spans="2:11" ht="12.75">
      <c r="B613" s="6"/>
      <c r="C613" s="6"/>
      <c r="D613" s="7"/>
      <c r="E613" s="7"/>
      <c r="F613" s="8"/>
      <c r="G613" s="9"/>
      <c r="H613" s="9"/>
      <c r="I613" s="10"/>
      <c r="J613" s="6"/>
      <c r="K613" s="4"/>
    </row>
    <row r="614" spans="2:11" ht="12.75">
      <c r="B614" s="6"/>
      <c r="C614" s="6"/>
      <c r="D614" s="7"/>
      <c r="E614" s="7"/>
      <c r="F614" s="8"/>
      <c r="G614" s="9"/>
      <c r="H614" s="9"/>
      <c r="I614" s="10"/>
      <c r="J614" s="6"/>
      <c r="K614" s="4"/>
    </row>
    <row r="615" spans="2:11" ht="12.75">
      <c r="B615" s="6"/>
      <c r="C615" s="6"/>
      <c r="D615" s="7"/>
      <c r="E615" s="7"/>
      <c r="F615" s="8"/>
      <c r="G615" s="9"/>
      <c r="H615" s="9"/>
      <c r="I615" s="10"/>
      <c r="J615" s="6"/>
      <c r="K615" s="4"/>
    </row>
    <row r="616" spans="2:11" ht="12.75">
      <c r="B616" s="6"/>
      <c r="C616" s="6"/>
      <c r="D616" s="7"/>
      <c r="E616" s="7"/>
      <c r="F616" s="8"/>
      <c r="G616" s="9"/>
      <c r="H616" s="9"/>
      <c r="I616" s="10"/>
      <c r="J616" s="6"/>
      <c r="K616" s="4"/>
    </row>
    <row r="617" spans="2:11" ht="12.75">
      <c r="B617" s="6"/>
      <c r="C617" s="6"/>
      <c r="D617" s="7"/>
      <c r="E617" s="7"/>
      <c r="F617" s="8"/>
      <c r="G617" s="9"/>
      <c r="H617" s="9"/>
      <c r="I617" s="10"/>
      <c r="J617" s="6"/>
      <c r="K617" s="4"/>
    </row>
    <row r="618" spans="2:11" ht="12.75">
      <c r="B618" s="6"/>
      <c r="C618" s="6"/>
      <c r="D618" s="7"/>
      <c r="E618" s="7"/>
      <c r="F618" s="8"/>
      <c r="G618" s="9"/>
      <c r="H618" s="9"/>
      <c r="I618" s="10"/>
      <c r="J618" s="6"/>
      <c r="K618" s="4"/>
    </row>
    <row r="619" spans="2:11" ht="12.75">
      <c r="B619" s="6"/>
      <c r="C619" s="6"/>
      <c r="D619" s="7"/>
      <c r="E619" s="7"/>
      <c r="F619" s="8"/>
      <c r="G619" s="9"/>
      <c r="H619" s="9"/>
      <c r="I619" s="10"/>
      <c r="J619" s="6"/>
      <c r="K619" s="4"/>
    </row>
    <row r="620" spans="2:11" ht="12.75">
      <c r="B620" s="6"/>
      <c r="C620" s="6"/>
      <c r="D620" s="7"/>
      <c r="E620" s="7"/>
      <c r="F620" s="8"/>
      <c r="G620" s="9"/>
      <c r="H620" s="9"/>
      <c r="I620" s="10"/>
      <c r="J620" s="6"/>
      <c r="K620" s="4"/>
    </row>
    <row r="621" spans="2:11" ht="12.75">
      <c r="B621" s="6"/>
      <c r="C621" s="6"/>
      <c r="D621" s="7"/>
      <c r="E621" s="7"/>
      <c r="F621" s="8"/>
      <c r="G621" s="9"/>
      <c r="H621" s="9"/>
      <c r="I621" s="10"/>
      <c r="J621" s="6"/>
      <c r="K621" s="4"/>
    </row>
    <row r="622" spans="2:11" ht="12.75">
      <c r="B622" s="6"/>
      <c r="C622" s="6"/>
      <c r="D622" s="7"/>
      <c r="E622" s="7"/>
      <c r="F622" s="8"/>
      <c r="G622" s="9"/>
      <c r="H622" s="9"/>
      <c r="I622" s="10"/>
      <c r="J622" s="6"/>
      <c r="K622" s="4"/>
    </row>
    <row r="623" spans="2:11" ht="12.75">
      <c r="B623" s="6"/>
      <c r="C623" s="6"/>
      <c r="D623" s="7"/>
      <c r="E623" s="7"/>
      <c r="F623" s="8"/>
      <c r="G623" s="9"/>
      <c r="H623" s="9"/>
      <c r="I623" s="10"/>
      <c r="J623" s="6"/>
      <c r="K623" s="4"/>
    </row>
    <row r="624" spans="2:11" ht="12.75">
      <c r="B624" s="6"/>
      <c r="C624" s="6"/>
      <c r="D624" s="7"/>
      <c r="E624" s="7"/>
      <c r="F624" s="8"/>
      <c r="G624" s="9"/>
      <c r="H624" s="9"/>
      <c r="I624" s="10"/>
      <c r="J624" s="6"/>
      <c r="K624" s="4"/>
    </row>
    <row r="625" spans="2:11" ht="12.75">
      <c r="B625" s="6"/>
      <c r="C625" s="6"/>
      <c r="D625" s="7"/>
      <c r="E625" s="7"/>
      <c r="F625" s="8"/>
      <c r="G625" s="9"/>
      <c r="H625" s="9"/>
      <c r="I625" s="10"/>
      <c r="J625" s="6"/>
      <c r="K625" s="4"/>
    </row>
    <row r="626" spans="2:11" ht="12.75">
      <c r="B626" s="6"/>
      <c r="C626" s="6"/>
      <c r="D626" s="7"/>
      <c r="E626" s="7"/>
      <c r="F626" s="8"/>
      <c r="G626" s="9"/>
      <c r="H626" s="9"/>
      <c r="I626" s="10"/>
      <c r="J626" s="6"/>
      <c r="K626" s="4"/>
    </row>
    <row r="627" spans="2:11" ht="12.75">
      <c r="B627" s="6"/>
      <c r="C627" s="6"/>
      <c r="D627" s="7"/>
      <c r="E627" s="7"/>
      <c r="F627" s="8"/>
      <c r="G627" s="9"/>
      <c r="H627" s="9"/>
      <c r="I627" s="10"/>
      <c r="J627" s="6"/>
      <c r="K627" s="4"/>
    </row>
    <row r="628" spans="2:11" ht="12.75">
      <c r="B628" s="6"/>
      <c r="C628" s="6"/>
      <c r="D628" s="7"/>
      <c r="E628" s="7"/>
      <c r="F628" s="8"/>
      <c r="G628" s="9"/>
      <c r="H628" s="9"/>
      <c r="I628" s="10"/>
      <c r="J628" s="6"/>
      <c r="K628" s="4"/>
    </row>
    <row r="629" spans="2:11" ht="12.75">
      <c r="B629" s="6"/>
      <c r="C629" s="6"/>
      <c r="D629" s="7"/>
      <c r="E629" s="7"/>
      <c r="F629" s="8"/>
      <c r="G629" s="9"/>
      <c r="H629" s="9"/>
      <c r="I629" s="10"/>
      <c r="J629" s="6"/>
      <c r="K629" s="4"/>
    </row>
    <row r="630" spans="2:11" ht="12.75">
      <c r="B630" s="6"/>
      <c r="C630" s="6"/>
      <c r="D630" s="7"/>
      <c r="E630" s="7"/>
      <c r="F630" s="8"/>
      <c r="G630" s="9"/>
      <c r="H630" s="9"/>
      <c r="I630" s="10"/>
      <c r="J630" s="6"/>
      <c r="K630" s="4"/>
    </row>
    <row r="631" spans="2:11" ht="12.75">
      <c r="B631" s="6"/>
      <c r="C631" s="6"/>
      <c r="D631" s="7"/>
      <c r="E631" s="7"/>
      <c r="F631" s="8"/>
      <c r="G631" s="9"/>
      <c r="H631" s="9"/>
      <c r="I631" s="10"/>
      <c r="J631" s="6"/>
      <c r="K631" s="4"/>
    </row>
    <row r="632" spans="2:11" ht="12.75">
      <c r="B632" s="6"/>
      <c r="C632" s="6"/>
      <c r="D632" s="7"/>
      <c r="E632" s="7"/>
      <c r="F632" s="8"/>
      <c r="G632" s="9"/>
      <c r="H632" s="9"/>
      <c r="I632" s="10"/>
      <c r="J632" s="6"/>
      <c r="K632" s="4"/>
    </row>
    <row r="633" spans="2:11" ht="12.75">
      <c r="B633" s="6"/>
      <c r="C633" s="6"/>
      <c r="D633" s="7"/>
      <c r="E633" s="7"/>
      <c r="F633" s="8"/>
      <c r="G633" s="9"/>
      <c r="H633" s="9"/>
      <c r="I633" s="10"/>
      <c r="J633" s="6"/>
      <c r="K633" s="4"/>
    </row>
    <row r="634" spans="2:11" ht="12.75">
      <c r="B634" s="6"/>
      <c r="C634" s="6"/>
      <c r="D634" s="7"/>
      <c r="E634" s="7"/>
      <c r="F634" s="8"/>
      <c r="G634" s="9"/>
      <c r="H634" s="9"/>
      <c r="I634" s="10"/>
      <c r="J634" s="6"/>
      <c r="K634" s="4"/>
    </row>
    <row r="635" spans="2:11" ht="12.75">
      <c r="B635" s="6"/>
      <c r="C635" s="6"/>
      <c r="D635" s="7"/>
      <c r="E635" s="7"/>
      <c r="F635" s="8"/>
      <c r="G635" s="9"/>
      <c r="H635" s="9"/>
      <c r="I635" s="10"/>
      <c r="J635" s="6"/>
      <c r="K635" s="4"/>
    </row>
    <row r="636" spans="2:11" ht="12.75">
      <c r="B636" s="6"/>
      <c r="C636" s="6"/>
      <c r="D636" s="7"/>
      <c r="E636" s="7"/>
      <c r="F636" s="8"/>
      <c r="G636" s="9"/>
      <c r="H636" s="9"/>
      <c r="I636" s="10"/>
      <c r="J636" s="6"/>
      <c r="K636" s="4"/>
    </row>
    <row r="637" spans="2:11" ht="12.75">
      <c r="B637" s="6"/>
      <c r="C637" s="6"/>
      <c r="D637" s="7"/>
      <c r="E637" s="7"/>
      <c r="F637" s="8"/>
      <c r="G637" s="9"/>
      <c r="H637" s="9"/>
      <c r="I637" s="10"/>
      <c r="J637" s="6"/>
      <c r="K637" s="4"/>
    </row>
    <row r="638" spans="2:11" ht="12.75">
      <c r="B638" s="6"/>
      <c r="C638" s="6"/>
      <c r="D638" s="7"/>
      <c r="E638" s="7"/>
      <c r="F638" s="8"/>
      <c r="G638" s="9"/>
      <c r="H638" s="9"/>
      <c r="I638" s="10"/>
      <c r="J638" s="6"/>
      <c r="K638" s="4"/>
    </row>
    <row r="639" spans="2:11" ht="12.75">
      <c r="B639" s="6"/>
      <c r="C639" s="6"/>
      <c r="D639" s="7"/>
      <c r="E639" s="7"/>
      <c r="F639" s="8"/>
      <c r="G639" s="9"/>
      <c r="H639" s="9"/>
      <c r="I639" s="10"/>
      <c r="J639" s="6"/>
      <c r="K639" s="4"/>
    </row>
    <row r="640" spans="2:11" ht="12.75">
      <c r="B640" s="6"/>
      <c r="C640" s="6"/>
      <c r="D640" s="7"/>
      <c r="E640" s="7"/>
      <c r="F640" s="8"/>
      <c r="G640" s="9"/>
      <c r="H640" s="9"/>
      <c r="I640" s="10"/>
      <c r="J640" s="6"/>
      <c r="K640" s="4"/>
    </row>
    <row r="641" spans="2:11" ht="12.75">
      <c r="B641" s="6"/>
      <c r="C641" s="6"/>
      <c r="D641" s="7"/>
      <c r="E641" s="7"/>
      <c r="F641" s="8"/>
      <c r="G641" s="9"/>
      <c r="H641" s="9"/>
      <c r="I641" s="10"/>
      <c r="J641" s="6"/>
      <c r="K641" s="4"/>
    </row>
    <row r="642" spans="2:11" ht="12.75">
      <c r="B642" s="6"/>
      <c r="C642" s="6"/>
      <c r="D642" s="7"/>
      <c r="E642" s="7"/>
      <c r="F642" s="8"/>
      <c r="G642" s="9"/>
      <c r="H642" s="9"/>
      <c r="I642" s="10"/>
      <c r="J642" s="6"/>
      <c r="K642" s="4"/>
    </row>
    <row r="643" spans="2:11" ht="12.75">
      <c r="B643" s="6"/>
      <c r="C643" s="6"/>
      <c r="D643" s="7"/>
      <c r="E643" s="7"/>
      <c r="F643" s="8"/>
      <c r="G643" s="9"/>
      <c r="H643" s="9"/>
      <c r="I643" s="10"/>
      <c r="J643" s="6"/>
      <c r="K643" s="4"/>
    </row>
    <row r="644" spans="2:11" ht="12.75">
      <c r="B644" s="6"/>
      <c r="C644" s="6"/>
      <c r="D644" s="7"/>
      <c r="E644" s="7"/>
      <c r="F644" s="8"/>
      <c r="G644" s="9"/>
      <c r="H644" s="9"/>
      <c r="I644" s="10"/>
      <c r="J644" s="6"/>
      <c r="K644" s="4"/>
    </row>
    <row r="645" spans="2:11" ht="12.75">
      <c r="B645" s="6"/>
      <c r="C645" s="6"/>
      <c r="D645" s="7"/>
      <c r="E645" s="7"/>
      <c r="F645" s="8"/>
      <c r="G645" s="9"/>
      <c r="H645" s="9"/>
      <c r="I645" s="10"/>
      <c r="J645" s="6"/>
      <c r="K645" s="4"/>
    </row>
    <row r="646" spans="2:11" ht="12.75">
      <c r="B646" s="6"/>
      <c r="C646" s="6"/>
      <c r="D646" s="7"/>
      <c r="E646" s="7"/>
      <c r="F646" s="8"/>
      <c r="G646" s="9"/>
      <c r="H646" s="9"/>
      <c r="I646" s="10"/>
      <c r="J646" s="6"/>
      <c r="K646" s="4"/>
    </row>
    <row r="647" spans="2:11" ht="12.75">
      <c r="B647" s="6"/>
      <c r="C647" s="6"/>
      <c r="D647" s="7"/>
      <c r="E647" s="7"/>
      <c r="F647" s="8"/>
      <c r="G647" s="9"/>
      <c r="H647" s="9"/>
      <c r="I647" s="10"/>
      <c r="J647" s="6"/>
      <c r="K647" s="4"/>
    </row>
    <row r="648" spans="2:11" ht="12.75">
      <c r="B648" s="6"/>
      <c r="C648" s="6"/>
      <c r="D648" s="7"/>
      <c r="E648" s="7"/>
      <c r="F648" s="8"/>
      <c r="G648" s="9"/>
      <c r="H648" s="9"/>
      <c r="I648" s="10"/>
      <c r="J648" s="6"/>
      <c r="K648" s="4"/>
    </row>
    <row r="649" spans="2:11" ht="12.75">
      <c r="B649" s="6"/>
      <c r="C649" s="6"/>
      <c r="D649" s="7"/>
      <c r="E649" s="7"/>
      <c r="F649" s="8"/>
      <c r="G649" s="9"/>
      <c r="H649" s="9"/>
      <c r="I649" s="10"/>
      <c r="J649" s="6"/>
      <c r="K649" s="4"/>
    </row>
    <row r="650" spans="2:11" ht="12.75">
      <c r="B650" s="6"/>
      <c r="C650" s="6"/>
      <c r="D650" s="7"/>
      <c r="E650" s="7"/>
      <c r="F650" s="8"/>
      <c r="G650" s="9"/>
      <c r="H650" s="9"/>
      <c r="I650" s="10"/>
      <c r="J650" s="6"/>
      <c r="K650" s="4"/>
    </row>
    <row r="651" spans="2:11" ht="12.75">
      <c r="B651" s="6"/>
      <c r="C651" s="6"/>
      <c r="D651" s="7"/>
      <c r="E651" s="7"/>
      <c r="F651" s="8"/>
      <c r="G651" s="9"/>
      <c r="H651" s="9"/>
      <c r="I651" s="10"/>
      <c r="J651" s="6"/>
      <c r="K651" s="4"/>
    </row>
    <row r="652" spans="2:11" ht="12.75">
      <c r="B652" s="6"/>
      <c r="C652" s="6"/>
      <c r="D652" s="7"/>
      <c r="E652" s="7"/>
      <c r="F652" s="8"/>
      <c r="G652" s="9"/>
      <c r="H652" s="9"/>
      <c r="I652" s="10"/>
      <c r="J652" s="6"/>
      <c r="K652" s="4"/>
    </row>
    <row r="653" spans="2:11" ht="12.75">
      <c r="B653" s="6"/>
      <c r="C653" s="6"/>
      <c r="D653" s="7"/>
      <c r="E653" s="7"/>
      <c r="F653" s="8"/>
      <c r="G653" s="9"/>
      <c r="H653" s="9"/>
      <c r="I653" s="10"/>
      <c r="J653" s="6"/>
      <c r="K653" s="4"/>
    </row>
    <row r="654" spans="2:11" ht="12.75">
      <c r="B654" s="6"/>
      <c r="C654" s="6"/>
      <c r="D654" s="7"/>
      <c r="E654" s="7"/>
      <c r="F654" s="8"/>
      <c r="G654" s="9"/>
      <c r="H654" s="9"/>
      <c r="I654" s="10"/>
      <c r="J654" s="6"/>
      <c r="K654" s="4"/>
    </row>
    <row r="655" spans="2:11" ht="12.75">
      <c r="B655" s="6"/>
      <c r="C655" s="6"/>
      <c r="D655" s="7"/>
      <c r="E655" s="7"/>
      <c r="F655" s="8"/>
      <c r="G655" s="9"/>
      <c r="H655" s="9"/>
      <c r="I655" s="10"/>
      <c r="J655" s="6"/>
      <c r="K655" s="4"/>
    </row>
    <row r="656" spans="2:11" ht="12.75">
      <c r="B656" s="6"/>
      <c r="C656" s="6"/>
      <c r="D656" s="7"/>
      <c r="E656" s="7"/>
      <c r="F656" s="8"/>
      <c r="G656" s="9"/>
      <c r="H656" s="9"/>
      <c r="I656" s="10"/>
      <c r="J656" s="6"/>
      <c r="K656" s="4"/>
    </row>
    <row r="657" spans="2:11" ht="12.75">
      <c r="B657" s="6"/>
      <c r="C657" s="6"/>
      <c r="D657" s="7"/>
      <c r="E657" s="7"/>
      <c r="F657" s="8"/>
      <c r="G657" s="9"/>
      <c r="H657" s="9"/>
      <c r="I657" s="10"/>
      <c r="J657" s="6"/>
      <c r="K657" s="4"/>
    </row>
    <row r="658" spans="2:11" ht="12.75">
      <c r="B658" s="6"/>
      <c r="C658" s="6"/>
      <c r="D658" s="7"/>
      <c r="E658" s="7"/>
      <c r="F658" s="8"/>
      <c r="G658" s="9"/>
      <c r="H658" s="9"/>
      <c r="I658" s="10"/>
      <c r="J658" s="6"/>
      <c r="K658" s="4"/>
    </row>
    <row r="659" spans="2:11" ht="12.75">
      <c r="B659" s="6"/>
      <c r="C659" s="6"/>
      <c r="D659" s="7"/>
      <c r="E659" s="7"/>
      <c r="F659" s="8"/>
      <c r="G659" s="9"/>
      <c r="H659" s="9"/>
      <c r="I659" s="10"/>
      <c r="J659" s="6"/>
      <c r="K659" s="4"/>
    </row>
    <row r="660" spans="2:11" ht="12.75">
      <c r="B660" s="6"/>
      <c r="C660" s="6"/>
      <c r="D660" s="7"/>
      <c r="E660" s="7"/>
      <c r="F660" s="8"/>
      <c r="G660" s="9"/>
      <c r="H660" s="9"/>
      <c r="I660" s="10"/>
      <c r="J660" s="6"/>
      <c r="K660" s="4"/>
    </row>
    <row r="661" spans="2:11" ht="12.75">
      <c r="B661" s="6"/>
      <c r="C661" s="6"/>
      <c r="D661" s="7"/>
      <c r="E661" s="7"/>
      <c r="F661" s="8"/>
      <c r="G661" s="9"/>
      <c r="H661" s="9"/>
      <c r="I661" s="10"/>
      <c r="J661" s="6"/>
      <c r="K661" s="4"/>
    </row>
    <row r="662" spans="2:11" ht="12.75">
      <c r="B662" s="6"/>
      <c r="C662" s="6"/>
      <c r="D662" s="7"/>
      <c r="E662" s="7"/>
      <c r="F662" s="8"/>
      <c r="G662" s="9"/>
      <c r="H662" s="9"/>
      <c r="I662" s="10"/>
      <c r="J662" s="6"/>
      <c r="K662" s="4"/>
    </row>
    <row r="663" spans="2:11" ht="12.75">
      <c r="B663" s="6"/>
      <c r="C663" s="6"/>
      <c r="D663" s="7"/>
      <c r="E663" s="7"/>
      <c r="F663" s="8"/>
      <c r="G663" s="9"/>
      <c r="H663" s="9"/>
      <c r="I663" s="10"/>
      <c r="J663" s="6"/>
      <c r="K663" s="4"/>
    </row>
    <row r="664" spans="2:11" ht="12.75">
      <c r="B664" s="6"/>
      <c r="C664" s="6"/>
      <c r="D664" s="7"/>
      <c r="E664" s="7"/>
      <c r="F664" s="8"/>
      <c r="G664" s="9"/>
      <c r="H664" s="9"/>
      <c r="I664" s="10"/>
      <c r="J664" s="6"/>
      <c r="K664" s="4"/>
    </row>
    <row r="665" spans="2:11" ht="12.75">
      <c r="B665" s="6"/>
      <c r="C665" s="6"/>
      <c r="D665" s="7"/>
      <c r="E665" s="7"/>
      <c r="F665" s="8"/>
      <c r="G665" s="9"/>
      <c r="H665" s="9"/>
      <c r="I665" s="10"/>
      <c r="J665" s="6"/>
      <c r="K665" s="4"/>
    </row>
    <row r="666" spans="2:11" ht="12.75">
      <c r="B666" s="6"/>
      <c r="C666" s="6"/>
      <c r="D666" s="7"/>
      <c r="E666" s="7"/>
      <c r="F666" s="8"/>
      <c r="G666" s="9"/>
      <c r="H666" s="9"/>
      <c r="I666" s="10"/>
      <c r="J666" s="6"/>
      <c r="K666" s="4"/>
    </row>
    <row r="667" spans="2:11" ht="12.75">
      <c r="B667" s="6"/>
      <c r="C667" s="6"/>
      <c r="D667" s="7"/>
      <c r="E667" s="7"/>
      <c r="F667" s="8"/>
      <c r="G667" s="9"/>
      <c r="H667" s="9"/>
      <c r="I667" s="10"/>
      <c r="J667" s="6"/>
      <c r="K667" s="4"/>
    </row>
    <row r="668" spans="2:11" ht="12.75">
      <c r="B668" s="6"/>
      <c r="C668" s="6"/>
      <c r="D668" s="7"/>
      <c r="E668" s="7"/>
      <c r="F668" s="8"/>
      <c r="G668" s="9"/>
      <c r="H668" s="9"/>
      <c r="I668" s="10"/>
      <c r="J668" s="6"/>
      <c r="K668" s="4"/>
    </row>
    <row r="669" spans="2:11" ht="12.75">
      <c r="B669" s="6"/>
      <c r="C669" s="6"/>
      <c r="D669" s="7"/>
      <c r="E669" s="7"/>
      <c r="F669" s="8"/>
      <c r="G669" s="9"/>
      <c r="H669" s="9"/>
      <c r="I669" s="10"/>
      <c r="J669" s="6"/>
      <c r="K669" s="4"/>
    </row>
    <row r="670" spans="2:11" ht="12.75">
      <c r="B670" s="6"/>
      <c r="C670" s="6"/>
      <c r="D670" s="7"/>
      <c r="E670" s="7"/>
      <c r="F670" s="8"/>
      <c r="G670" s="9"/>
      <c r="H670" s="9"/>
      <c r="I670" s="10"/>
      <c r="J670" s="6"/>
      <c r="K670" s="4"/>
    </row>
    <row r="671" spans="2:11" ht="12.75">
      <c r="B671" s="6"/>
      <c r="C671" s="6"/>
      <c r="D671" s="7"/>
      <c r="E671" s="7"/>
      <c r="F671" s="8"/>
      <c r="G671" s="9"/>
      <c r="H671" s="9"/>
      <c r="I671" s="10"/>
      <c r="J671" s="6"/>
      <c r="K671" s="4"/>
    </row>
    <row r="672" spans="2:11" ht="12.75">
      <c r="B672" s="6"/>
      <c r="C672" s="6"/>
      <c r="D672" s="7"/>
      <c r="E672" s="7"/>
      <c r="F672" s="8"/>
      <c r="G672" s="9"/>
      <c r="H672" s="9"/>
      <c r="I672" s="10"/>
      <c r="J672" s="6"/>
      <c r="K672" s="4"/>
    </row>
    <row r="673" spans="2:11" ht="12.75">
      <c r="B673" s="6"/>
      <c r="C673" s="6"/>
      <c r="D673" s="7"/>
      <c r="E673" s="7"/>
      <c r="F673" s="8"/>
      <c r="G673" s="9"/>
      <c r="H673" s="9"/>
      <c r="I673" s="10"/>
      <c r="J673" s="6"/>
      <c r="K673" s="4"/>
    </row>
    <row r="674" spans="2:11" ht="12.75">
      <c r="B674" s="6"/>
      <c r="C674" s="6"/>
      <c r="D674" s="7"/>
      <c r="E674" s="7"/>
      <c r="F674" s="8"/>
      <c r="G674" s="9"/>
      <c r="H674" s="9"/>
      <c r="I674" s="10"/>
      <c r="J674" s="6"/>
      <c r="K674" s="4"/>
    </row>
    <row r="675" spans="2:11" ht="12.75">
      <c r="B675" s="6"/>
      <c r="C675" s="6"/>
      <c r="D675" s="7"/>
      <c r="E675" s="7"/>
      <c r="F675" s="8"/>
      <c r="G675" s="9"/>
      <c r="H675" s="9"/>
      <c r="I675" s="10"/>
      <c r="J675" s="6"/>
      <c r="K675" s="4"/>
    </row>
    <row r="676" spans="2:11" ht="12.75">
      <c r="B676" s="6"/>
      <c r="C676" s="6"/>
      <c r="D676" s="7"/>
      <c r="E676" s="7"/>
      <c r="F676" s="8"/>
      <c r="G676" s="9"/>
      <c r="H676" s="9"/>
      <c r="I676" s="10"/>
      <c r="J676" s="6"/>
      <c r="K676" s="4"/>
    </row>
    <row r="677" spans="2:11" ht="12.75">
      <c r="B677" s="6"/>
      <c r="C677" s="6"/>
      <c r="D677" s="7"/>
      <c r="E677" s="7"/>
      <c r="F677" s="8"/>
      <c r="G677" s="9"/>
      <c r="H677" s="9"/>
      <c r="I677" s="10"/>
      <c r="J677" s="6"/>
      <c r="K677" s="4"/>
    </row>
    <row r="678" spans="2:11" ht="12.75">
      <c r="B678" s="6"/>
      <c r="C678" s="6"/>
      <c r="D678" s="7"/>
      <c r="E678" s="7"/>
      <c r="F678" s="8"/>
      <c r="G678" s="9"/>
      <c r="H678" s="9"/>
      <c r="I678" s="10"/>
      <c r="J678" s="6"/>
      <c r="K678" s="4"/>
    </row>
    <row r="679" spans="2:11" ht="12.75">
      <c r="B679" s="6"/>
      <c r="C679" s="6"/>
      <c r="D679" s="7"/>
      <c r="E679" s="7"/>
      <c r="F679" s="8"/>
      <c r="G679" s="9"/>
      <c r="H679" s="9"/>
      <c r="I679" s="10"/>
      <c r="J679" s="6"/>
      <c r="K679" s="4"/>
    </row>
    <row r="680" spans="2:11" ht="12.75">
      <c r="B680" s="6"/>
      <c r="C680" s="6"/>
      <c r="D680" s="7"/>
      <c r="E680" s="7"/>
      <c r="F680" s="8"/>
      <c r="G680" s="9"/>
      <c r="H680" s="9"/>
      <c r="I680" s="10"/>
      <c r="J680" s="6"/>
      <c r="K680" s="4"/>
    </row>
    <row r="681" spans="2:11" ht="12.75">
      <c r="B681" s="6"/>
      <c r="C681" s="6"/>
      <c r="D681" s="7"/>
      <c r="E681" s="7"/>
      <c r="F681" s="8"/>
      <c r="G681" s="9"/>
      <c r="H681" s="9"/>
      <c r="I681" s="10"/>
      <c r="J681" s="6"/>
      <c r="K681" s="4"/>
    </row>
    <row r="682" spans="2:11" ht="12.75">
      <c r="B682" s="6"/>
      <c r="C682" s="6"/>
      <c r="D682" s="7"/>
      <c r="E682" s="7"/>
      <c r="F682" s="8"/>
      <c r="G682" s="9"/>
      <c r="H682" s="9"/>
      <c r="I682" s="10"/>
      <c r="J682" s="6"/>
      <c r="K682" s="4"/>
    </row>
    <row r="683" spans="2:11" ht="12.75">
      <c r="B683" s="6"/>
      <c r="C683" s="6"/>
      <c r="D683" s="7"/>
      <c r="E683" s="7"/>
      <c r="F683" s="8"/>
      <c r="G683" s="9"/>
      <c r="H683" s="9"/>
      <c r="I683" s="10"/>
      <c r="J683" s="6"/>
      <c r="K683" s="4"/>
    </row>
    <row r="684" spans="2:11" ht="12.75">
      <c r="B684" s="6"/>
      <c r="C684" s="6"/>
      <c r="D684" s="7"/>
      <c r="E684" s="7"/>
      <c r="F684" s="8"/>
      <c r="G684" s="9"/>
      <c r="H684" s="9"/>
      <c r="I684" s="10"/>
      <c r="J684" s="6"/>
      <c r="K684" s="4"/>
    </row>
    <row r="685" spans="2:11" ht="12.75">
      <c r="B685" s="6"/>
      <c r="C685" s="6"/>
      <c r="D685" s="7"/>
      <c r="E685" s="7"/>
      <c r="F685" s="8"/>
      <c r="G685" s="9"/>
      <c r="H685" s="9"/>
      <c r="I685" s="10"/>
      <c r="J685" s="6"/>
      <c r="K685" s="4"/>
    </row>
    <row r="686" spans="2:11" ht="12.75">
      <c r="B686" s="6"/>
      <c r="C686" s="6"/>
      <c r="D686" s="7"/>
      <c r="E686" s="7"/>
      <c r="F686" s="8"/>
      <c r="G686" s="9"/>
      <c r="H686" s="9"/>
      <c r="I686" s="10"/>
      <c r="J686" s="6"/>
      <c r="K686" s="4"/>
    </row>
    <row r="687" spans="2:11" ht="12.75">
      <c r="B687" s="6"/>
      <c r="C687" s="6"/>
      <c r="D687" s="7"/>
      <c r="E687" s="7"/>
      <c r="F687" s="8"/>
      <c r="G687" s="9"/>
      <c r="H687" s="9"/>
      <c r="I687" s="10"/>
      <c r="J687" s="6"/>
      <c r="K687" s="4"/>
    </row>
    <row r="688" spans="2:11" ht="12.75">
      <c r="B688" s="6"/>
      <c r="C688" s="6"/>
      <c r="D688" s="7"/>
      <c r="E688" s="7"/>
      <c r="F688" s="8"/>
      <c r="G688" s="9"/>
      <c r="H688" s="9"/>
      <c r="I688" s="10"/>
      <c r="J688" s="6"/>
      <c r="K688" s="4"/>
    </row>
    <row r="689" spans="2:11" ht="12.75">
      <c r="B689" s="6"/>
      <c r="C689" s="6"/>
      <c r="D689" s="7"/>
      <c r="E689" s="7"/>
      <c r="F689" s="8"/>
      <c r="G689" s="9"/>
      <c r="H689" s="9"/>
      <c r="I689" s="10"/>
      <c r="J689" s="6"/>
      <c r="K689" s="4"/>
    </row>
    <row r="690" spans="2:11" ht="12.75">
      <c r="B690" s="6"/>
      <c r="C690" s="6"/>
      <c r="D690" s="7"/>
      <c r="E690" s="7"/>
      <c r="F690" s="8"/>
      <c r="G690" s="9"/>
      <c r="H690" s="9"/>
      <c r="I690" s="10"/>
      <c r="J690" s="6"/>
      <c r="K690" s="4"/>
    </row>
    <row r="691" spans="2:11" ht="12.75">
      <c r="B691" s="6"/>
      <c r="C691" s="6"/>
      <c r="D691" s="7"/>
      <c r="E691" s="7"/>
      <c r="F691" s="8"/>
      <c r="G691" s="9"/>
      <c r="H691" s="9"/>
      <c r="I691" s="10"/>
      <c r="J691" s="6"/>
      <c r="K691" s="4"/>
    </row>
    <row r="692" spans="2:11" ht="12.75">
      <c r="B692" s="6"/>
      <c r="C692" s="6"/>
      <c r="D692" s="7"/>
      <c r="E692" s="7"/>
      <c r="F692" s="8"/>
      <c r="G692" s="9"/>
      <c r="H692" s="9"/>
      <c r="I692" s="10"/>
      <c r="J692" s="6"/>
      <c r="K692" s="4"/>
    </row>
    <row r="693" spans="2:11" ht="12.75">
      <c r="B693" s="6"/>
      <c r="C693" s="6"/>
      <c r="D693" s="7"/>
      <c r="E693" s="7"/>
      <c r="F693" s="8"/>
      <c r="G693" s="9"/>
      <c r="H693" s="9"/>
      <c r="I693" s="10"/>
      <c r="J693" s="6"/>
      <c r="K693" s="4"/>
    </row>
    <row r="694" spans="2:11" ht="12.75">
      <c r="B694" s="6"/>
      <c r="C694" s="6"/>
      <c r="D694" s="7"/>
      <c r="E694" s="7"/>
      <c r="F694" s="8"/>
      <c r="G694" s="9"/>
      <c r="H694" s="9"/>
      <c r="I694" s="10"/>
      <c r="J694" s="6"/>
      <c r="K694" s="4"/>
    </row>
    <row r="695" spans="2:11" ht="12.75">
      <c r="B695" s="6"/>
      <c r="C695" s="6"/>
      <c r="D695" s="7"/>
      <c r="E695" s="7"/>
      <c r="F695" s="8"/>
      <c r="G695" s="9"/>
      <c r="H695" s="9"/>
      <c r="I695" s="10"/>
      <c r="J695" s="6"/>
      <c r="K695" s="4"/>
    </row>
    <row r="696" spans="2:11" ht="12.75">
      <c r="B696" s="6"/>
      <c r="C696" s="6"/>
      <c r="D696" s="7"/>
      <c r="E696" s="7"/>
      <c r="F696" s="8"/>
      <c r="G696" s="9"/>
      <c r="H696" s="9"/>
      <c r="I696" s="10"/>
      <c r="J696" s="6"/>
      <c r="K696" s="4"/>
    </row>
    <row r="697" spans="2:11" ht="12.75">
      <c r="B697" s="6"/>
      <c r="C697" s="6"/>
      <c r="D697" s="7"/>
      <c r="E697" s="7"/>
      <c r="F697" s="8"/>
      <c r="G697" s="9"/>
      <c r="H697" s="9"/>
      <c r="I697" s="10"/>
      <c r="J697" s="6"/>
      <c r="K697" s="4"/>
    </row>
    <row r="698" spans="2:11" ht="12.75">
      <c r="B698" s="6"/>
      <c r="C698" s="6"/>
      <c r="D698" s="7"/>
      <c r="E698" s="7"/>
      <c r="F698" s="8"/>
      <c r="G698" s="9"/>
      <c r="H698" s="9"/>
      <c r="I698" s="10"/>
      <c r="J698" s="6"/>
      <c r="K698" s="4"/>
    </row>
    <row r="699" spans="2:11" ht="12.75">
      <c r="B699" s="6"/>
      <c r="C699" s="6"/>
      <c r="D699" s="7"/>
      <c r="E699" s="7"/>
      <c r="F699" s="8"/>
      <c r="G699" s="9"/>
      <c r="H699" s="9"/>
      <c r="I699" s="10"/>
      <c r="J699" s="6"/>
      <c r="K699" s="4"/>
    </row>
    <row r="700" spans="2:11" ht="12.75">
      <c r="B700" s="6"/>
      <c r="C700" s="6"/>
      <c r="D700" s="7"/>
      <c r="E700" s="7"/>
      <c r="F700" s="8"/>
      <c r="G700" s="9"/>
      <c r="H700" s="9"/>
      <c r="I700" s="10"/>
      <c r="J700" s="6"/>
      <c r="K700" s="4"/>
    </row>
    <row r="701" spans="2:11" ht="12.75">
      <c r="B701" s="6"/>
      <c r="C701" s="6"/>
      <c r="D701" s="7"/>
      <c r="E701" s="7"/>
      <c r="F701" s="8"/>
      <c r="G701" s="9"/>
      <c r="H701" s="9"/>
      <c r="I701" s="10"/>
      <c r="J701" s="6"/>
      <c r="K701" s="4"/>
    </row>
    <row r="702" spans="2:11" ht="12.75">
      <c r="B702" s="6"/>
      <c r="C702" s="6"/>
      <c r="D702" s="7"/>
      <c r="E702" s="7"/>
      <c r="F702" s="8"/>
      <c r="G702" s="9"/>
      <c r="H702" s="9"/>
      <c r="I702" s="10"/>
      <c r="J702" s="6"/>
      <c r="K702" s="4"/>
    </row>
    <row r="703" spans="2:11" ht="12.75">
      <c r="B703" s="6"/>
      <c r="C703" s="6"/>
      <c r="D703" s="7"/>
      <c r="E703" s="7"/>
      <c r="F703" s="8"/>
      <c r="G703" s="9"/>
      <c r="H703" s="9"/>
      <c r="I703" s="10"/>
      <c r="J703" s="6"/>
      <c r="K703" s="4"/>
    </row>
    <row r="704" spans="2:11" ht="12.75">
      <c r="B704" s="6"/>
      <c r="C704" s="6"/>
      <c r="D704" s="7"/>
      <c r="E704" s="7"/>
      <c r="F704" s="8"/>
      <c r="G704" s="9"/>
      <c r="H704" s="9"/>
      <c r="I704" s="10"/>
      <c r="J704" s="6"/>
      <c r="K704" s="4"/>
    </row>
    <row r="705" spans="2:11" ht="12.75">
      <c r="B705" s="6"/>
      <c r="C705" s="6"/>
      <c r="D705" s="7"/>
      <c r="E705" s="7"/>
      <c r="F705" s="8"/>
      <c r="G705" s="9"/>
      <c r="H705" s="9"/>
      <c r="I705" s="10"/>
      <c r="J705" s="6"/>
      <c r="K705" s="4"/>
    </row>
    <row r="706" spans="2:11" ht="12.75">
      <c r="B706" s="6"/>
      <c r="C706" s="6"/>
      <c r="D706" s="7"/>
      <c r="E706" s="7"/>
      <c r="F706" s="8"/>
      <c r="G706" s="9"/>
      <c r="H706" s="9"/>
      <c r="I706" s="10"/>
      <c r="J706" s="6"/>
      <c r="K706" s="4"/>
    </row>
    <row r="707" spans="2:11" ht="12.75">
      <c r="B707" s="6"/>
      <c r="C707" s="6"/>
      <c r="D707" s="7"/>
      <c r="E707" s="7"/>
      <c r="F707" s="8"/>
      <c r="G707" s="9"/>
      <c r="H707" s="9"/>
      <c r="I707" s="10"/>
      <c r="J707" s="6"/>
      <c r="K707" s="4"/>
    </row>
    <row r="708" spans="2:11" ht="12.75">
      <c r="B708" s="6"/>
      <c r="C708" s="6"/>
      <c r="D708" s="7"/>
      <c r="E708" s="7"/>
      <c r="F708" s="8"/>
      <c r="G708" s="9"/>
      <c r="H708" s="9"/>
      <c r="I708" s="10"/>
      <c r="J708" s="6"/>
      <c r="K708" s="4"/>
    </row>
    <row r="709" spans="2:11" ht="12.75">
      <c r="B709" s="6"/>
      <c r="C709" s="6"/>
      <c r="D709" s="7"/>
      <c r="E709" s="7"/>
      <c r="F709" s="8"/>
      <c r="G709" s="9"/>
      <c r="H709" s="9"/>
      <c r="I709" s="10"/>
      <c r="J709" s="6"/>
      <c r="K709" s="4"/>
    </row>
    <row r="710" spans="2:11" ht="12.75">
      <c r="B710" s="6"/>
      <c r="C710" s="6"/>
      <c r="D710" s="7"/>
      <c r="E710" s="7"/>
      <c r="F710" s="8"/>
      <c r="G710" s="9"/>
      <c r="H710" s="9"/>
      <c r="I710" s="10"/>
      <c r="J710" s="6"/>
      <c r="K710" s="4"/>
    </row>
    <row r="711" spans="2:11" ht="12.75">
      <c r="B711" s="6"/>
      <c r="C711" s="6"/>
      <c r="D711" s="7"/>
      <c r="E711" s="7"/>
      <c r="F711" s="8"/>
      <c r="G711" s="9"/>
      <c r="H711" s="9"/>
      <c r="I711" s="10"/>
      <c r="J711" s="6"/>
      <c r="K711" s="4"/>
    </row>
    <row r="712" spans="2:11" ht="12.75">
      <c r="B712" s="6"/>
      <c r="C712" s="6"/>
      <c r="D712" s="7"/>
      <c r="E712" s="7"/>
      <c r="F712" s="8"/>
      <c r="G712" s="9"/>
      <c r="H712" s="9"/>
      <c r="I712" s="10"/>
      <c r="J712" s="6"/>
      <c r="K712" s="4"/>
    </row>
    <row r="713" spans="2:11" ht="12.75">
      <c r="B713" s="6"/>
      <c r="C713" s="6"/>
      <c r="D713" s="7"/>
      <c r="E713" s="7"/>
      <c r="F713" s="8"/>
      <c r="G713" s="9"/>
      <c r="H713" s="9"/>
      <c r="I713" s="10"/>
      <c r="J713" s="6"/>
      <c r="K713" s="4"/>
    </row>
    <row r="714" spans="2:11" ht="12.75">
      <c r="B714" s="6"/>
      <c r="C714" s="6"/>
      <c r="D714" s="7"/>
      <c r="E714" s="7"/>
      <c r="F714" s="8"/>
      <c r="G714" s="9"/>
      <c r="H714" s="9"/>
      <c r="I714" s="10"/>
      <c r="J714" s="6"/>
      <c r="K714" s="4"/>
    </row>
    <row r="715" spans="2:11" ht="12.75">
      <c r="B715" s="6"/>
      <c r="C715" s="6"/>
      <c r="D715" s="7"/>
      <c r="E715" s="7"/>
      <c r="F715" s="8"/>
      <c r="G715" s="9"/>
      <c r="H715" s="9"/>
      <c r="I715" s="10"/>
      <c r="J715" s="6"/>
      <c r="K715" s="4"/>
    </row>
    <row r="716" spans="2:11" ht="12.75">
      <c r="B716" s="6"/>
      <c r="C716" s="6"/>
      <c r="D716" s="7"/>
      <c r="E716" s="7"/>
      <c r="F716" s="8"/>
      <c r="G716" s="9"/>
      <c r="H716" s="9"/>
      <c r="I716" s="10"/>
      <c r="J716" s="6"/>
      <c r="K716" s="4"/>
    </row>
    <row r="717" spans="2:11" ht="12.75">
      <c r="B717" s="6"/>
      <c r="C717" s="6"/>
      <c r="D717" s="7"/>
      <c r="E717" s="7"/>
      <c r="F717" s="8"/>
      <c r="G717" s="9"/>
      <c r="H717" s="9"/>
      <c r="I717" s="10"/>
      <c r="J717" s="6"/>
      <c r="K717" s="4"/>
    </row>
    <row r="718" spans="2:11" ht="12.75">
      <c r="B718" s="6"/>
      <c r="C718" s="6"/>
      <c r="D718" s="7"/>
      <c r="E718" s="7"/>
      <c r="F718" s="8"/>
      <c r="G718" s="9"/>
      <c r="H718" s="9"/>
      <c r="I718" s="10"/>
      <c r="J718" s="6"/>
      <c r="K718" s="4"/>
    </row>
    <row r="719" spans="2:11" ht="12.75">
      <c r="B719" s="6"/>
      <c r="C719" s="6"/>
      <c r="D719" s="7"/>
      <c r="E719" s="7"/>
      <c r="F719" s="8"/>
      <c r="G719" s="9"/>
      <c r="H719" s="9"/>
      <c r="I719" s="10"/>
      <c r="J719" s="6"/>
      <c r="K719" s="4"/>
    </row>
    <row r="720" spans="2:11" ht="12.75">
      <c r="B720" s="6"/>
      <c r="C720" s="6"/>
      <c r="D720" s="7"/>
      <c r="E720" s="7"/>
      <c r="F720" s="8"/>
      <c r="G720" s="9"/>
      <c r="H720" s="9"/>
      <c r="I720" s="10"/>
      <c r="J720" s="6"/>
      <c r="K720" s="4"/>
    </row>
    <row r="721" spans="2:11" ht="12.75">
      <c r="B721" s="6"/>
      <c r="C721" s="6"/>
      <c r="D721" s="7"/>
      <c r="E721" s="7"/>
      <c r="F721" s="8"/>
      <c r="G721" s="9"/>
      <c r="H721" s="9"/>
      <c r="I721" s="10"/>
      <c r="J721" s="6"/>
      <c r="K721" s="4"/>
    </row>
    <row r="722" spans="2:11" ht="12.75">
      <c r="B722" s="6"/>
      <c r="C722" s="6"/>
      <c r="D722" s="7"/>
      <c r="E722" s="7"/>
      <c r="F722" s="8"/>
      <c r="G722" s="9"/>
      <c r="H722" s="9"/>
      <c r="I722" s="10"/>
      <c r="J722" s="6"/>
      <c r="K722" s="4"/>
    </row>
    <row r="723" spans="2:11" ht="12.75">
      <c r="B723" s="6"/>
      <c r="C723" s="6"/>
      <c r="D723" s="7"/>
      <c r="E723" s="7"/>
      <c r="F723" s="8"/>
      <c r="G723" s="9"/>
      <c r="H723" s="9"/>
      <c r="I723" s="10"/>
      <c r="J723" s="6"/>
      <c r="K723" s="4"/>
    </row>
    <row r="724" spans="2:11" ht="12.75">
      <c r="B724" s="6"/>
      <c r="C724" s="6"/>
      <c r="D724" s="7"/>
      <c r="E724" s="7"/>
      <c r="F724" s="8"/>
      <c r="G724" s="9"/>
      <c r="H724" s="9"/>
      <c r="I724" s="10"/>
      <c r="J724" s="6"/>
      <c r="K724" s="4"/>
    </row>
    <row r="725" spans="2:11" ht="12.75">
      <c r="B725" s="6"/>
      <c r="C725" s="6"/>
      <c r="D725" s="7"/>
      <c r="E725" s="7"/>
      <c r="F725" s="8"/>
      <c r="G725" s="9"/>
      <c r="H725" s="9"/>
      <c r="I725" s="10"/>
      <c r="J725" s="6"/>
      <c r="K725" s="4"/>
    </row>
    <row r="726" spans="2:11" ht="12.75">
      <c r="B726" s="6"/>
      <c r="C726" s="6"/>
      <c r="D726" s="7"/>
      <c r="E726" s="7"/>
      <c r="F726" s="8"/>
      <c r="G726" s="9"/>
      <c r="H726" s="9"/>
      <c r="I726" s="10"/>
      <c r="J726" s="6"/>
      <c r="K726" s="4"/>
    </row>
    <row r="727" spans="2:11" ht="12.75">
      <c r="B727" s="6"/>
      <c r="C727" s="6"/>
      <c r="D727" s="7"/>
      <c r="E727" s="7"/>
      <c r="F727" s="8"/>
      <c r="G727" s="9"/>
      <c r="H727" s="9"/>
      <c r="I727" s="10"/>
      <c r="J727" s="6"/>
      <c r="K727" s="4"/>
    </row>
    <row r="728" spans="2:11" ht="12.75">
      <c r="B728" s="6"/>
      <c r="C728" s="6"/>
      <c r="D728" s="7"/>
      <c r="E728" s="7"/>
      <c r="F728" s="8"/>
      <c r="G728" s="9"/>
      <c r="H728" s="9"/>
      <c r="I728" s="10"/>
      <c r="J728" s="6"/>
      <c r="K728" s="4"/>
    </row>
    <row r="729" spans="2:11" ht="12.75">
      <c r="B729" s="6"/>
      <c r="C729" s="6"/>
      <c r="D729" s="7"/>
      <c r="E729" s="7"/>
      <c r="F729" s="8"/>
      <c r="G729" s="9"/>
      <c r="H729" s="9"/>
      <c r="I729" s="10"/>
      <c r="J729" s="6"/>
      <c r="K729" s="4"/>
    </row>
    <row r="730" spans="2:11" ht="12.75">
      <c r="B730" s="6"/>
      <c r="C730" s="6"/>
      <c r="D730" s="7"/>
      <c r="E730" s="7"/>
      <c r="F730" s="8"/>
      <c r="G730" s="9"/>
      <c r="H730" s="9"/>
      <c r="I730" s="10"/>
      <c r="J730" s="6"/>
      <c r="K730" s="4"/>
    </row>
    <row r="731" spans="2:11" ht="12.75">
      <c r="B731" s="6"/>
      <c r="C731" s="6"/>
      <c r="D731" s="7"/>
      <c r="E731" s="7"/>
      <c r="F731" s="8"/>
      <c r="G731" s="9"/>
      <c r="H731" s="9"/>
      <c r="I731" s="10"/>
      <c r="J731" s="6"/>
      <c r="K731" s="4"/>
    </row>
    <row r="732" spans="2:11" ht="12.75">
      <c r="B732" s="6"/>
      <c r="C732" s="6"/>
      <c r="D732" s="7"/>
      <c r="E732" s="7"/>
      <c r="F732" s="8"/>
      <c r="G732" s="9"/>
      <c r="H732" s="9"/>
      <c r="I732" s="10"/>
      <c r="J732" s="6"/>
      <c r="K732" s="4"/>
    </row>
    <row r="733" spans="2:11" ht="12.75">
      <c r="B733" s="6"/>
      <c r="C733" s="6"/>
      <c r="D733" s="7"/>
      <c r="E733" s="7"/>
      <c r="F733" s="8"/>
      <c r="G733" s="9"/>
      <c r="H733" s="9"/>
      <c r="I733" s="10"/>
      <c r="J733" s="6"/>
      <c r="K733" s="4"/>
    </row>
    <row r="734" spans="2:11" ht="12.75">
      <c r="B734" s="6"/>
      <c r="C734" s="6"/>
      <c r="D734" s="7"/>
      <c r="E734" s="7"/>
      <c r="F734" s="8"/>
      <c r="G734" s="9"/>
      <c r="H734" s="9"/>
      <c r="I734" s="10"/>
      <c r="J734" s="6"/>
      <c r="K734" s="4"/>
    </row>
    <row r="735" spans="2:11" ht="12.75">
      <c r="B735" s="6"/>
      <c r="C735" s="6"/>
      <c r="D735" s="7"/>
      <c r="E735" s="7"/>
      <c r="F735" s="8"/>
      <c r="G735" s="9"/>
      <c r="H735" s="9"/>
      <c r="I735" s="10"/>
      <c r="J735" s="6"/>
      <c r="K735" s="4"/>
    </row>
    <row r="736" spans="2:11" ht="12.75">
      <c r="B736" s="6"/>
      <c r="C736" s="6"/>
      <c r="D736" s="7"/>
      <c r="E736" s="7"/>
      <c r="F736" s="8"/>
      <c r="G736" s="9"/>
      <c r="H736" s="9"/>
      <c r="I736" s="10"/>
      <c r="J736" s="6"/>
      <c r="K736" s="4"/>
    </row>
    <row r="737" spans="2:11" ht="12.75">
      <c r="B737" s="6"/>
      <c r="C737" s="6"/>
      <c r="D737" s="7"/>
      <c r="E737" s="7"/>
      <c r="F737" s="8"/>
      <c r="G737" s="9"/>
      <c r="H737" s="9"/>
      <c r="I737" s="10"/>
      <c r="J737" s="6"/>
      <c r="K737" s="4"/>
    </row>
    <row r="738" spans="2:11" ht="12.75">
      <c r="B738" s="6"/>
      <c r="C738" s="6"/>
      <c r="D738" s="7"/>
      <c r="E738" s="7"/>
      <c r="F738" s="8"/>
      <c r="G738" s="9"/>
      <c r="H738" s="9"/>
      <c r="I738" s="10"/>
      <c r="J738" s="6"/>
      <c r="K738" s="4"/>
    </row>
    <row r="739" spans="2:11" ht="12.75">
      <c r="B739" s="6"/>
      <c r="C739" s="6"/>
      <c r="D739" s="7"/>
      <c r="E739" s="7"/>
      <c r="F739" s="8"/>
      <c r="G739" s="9"/>
      <c r="H739" s="9"/>
      <c r="I739" s="10"/>
      <c r="J739" s="6"/>
      <c r="K739" s="4"/>
    </row>
    <row r="740" spans="2:11" ht="12.75">
      <c r="B740" s="6"/>
      <c r="C740" s="6"/>
      <c r="D740" s="7"/>
      <c r="E740" s="7"/>
      <c r="F740" s="8"/>
      <c r="G740" s="9"/>
      <c r="H740" s="9"/>
      <c r="I740" s="10"/>
      <c r="J740" s="6"/>
      <c r="K740" s="4"/>
    </row>
    <row r="741" spans="2:11" ht="12.75">
      <c r="B741" s="6"/>
      <c r="C741" s="6"/>
      <c r="D741" s="7"/>
      <c r="E741" s="7"/>
      <c r="F741" s="8"/>
      <c r="G741" s="9"/>
      <c r="H741" s="9"/>
      <c r="I741" s="10"/>
      <c r="J741" s="6"/>
      <c r="K741" s="4"/>
    </row>
    <row r="742" spans="2:11" ht="12.75">
      <c r="B742" s="6"/>
      <c r="C742" s="6"/>
      <c r="D742" s="7"/>
      <c r="E742" s="7"/>
      <c r="F742" s="8"/>
      <c r="G742" s="9"/>
      <c r="H742" s="9"/>
      <c r="I742" s="10"/>
      <c r="J742" s="6"/>
      <c r="K742" s="4"/>
    </row>
    <row r="743" spans="2:11" ht="12.75">
      <c r="B743" s="6"/>
      <c r="C743" s="6"/>
      <c r="D743" s="7"/>
      <c r="E743" s="7"/>
      <c r="F743" s="8"/>
      <c r="G743" s="9"/>
      <c r="H743" s="9"/>
      <c r="I743" s="10"/>
      <c r="J743" s="6"/>
      <c r="K743" s="4"/>
    </row>
    <row r="744" spans="2:11" ht="12.75">
      <c r="B744" s="6"/>
      <c r="C744" s="6"/>
      <c r="D744" s="7"/>
      <c r="E744" s="7"/>
      <c r="F744" s="8"/>
      <c r="G744" s="9"/>
      <c r="H744" s="9"/>
      <c r="I744" s="10"/>
      <c r="J744" s="6"/>
      <c r="K744" s="4"/>
    </row>
    <row r="745" spans="2:11" ht="12.75">
      <c r="B745" s="6"/>
      <c r="C745" s="6"/>
      <c r="D745" s="7"/>
      <c r="E745" s="7"/>
      <c r="F745" s="8"/>
      <c r="G745" s="9"/>
      <c r="H745" s="9"/>
      <c r="I745" s="10"/>
      <c r="J745" s="6"/>
      <c r="K745" s="4"/>
    </row>
    <row r="746" spans="2:11" ht="12.75">
      <c r="B746" s="6"/>
      <c r="C746" s="6"/>
      <c r="D746" s="7"/>
      <c r="E746" s="7"/>
      <c r="F746" s="8"/>
      <c r="G746" s="9"/>
      <c r="H746" s="9"/>
      <c r="I746" s="10"/>
      <c r="J746" s="6"/>
      <c r="K746" s="4"/>
    </row>
    <row r="747" spans="2:11" ht="12.75">
      <c r="B747" s="6"/>
      <c r="C747" s="6"/>
      <c r="D747" s="7"/>
      <c r="E747" s="7"/>
      <c r="F747" s="8"/>
      <c r="G747" s="9"/>
      <c r="H747" s="9"/>
      <c r="I747" s="10"/>
      <c r="J747" s="6"/>
      <c r="K747" s="4"/>
    </row>
    <row r="748" spans="2:11" ht="12.75">
      <c r="B748" s="6"/>
      <c r="C748" s="6"/>
      <c r="D748" s="7"/>
      <c r="E748" s="7"/>
      <c r="F748" s="8"/>
      <c r="G748" s="9"/>
      <c r="H748" s="9"/>
      <c r="I748" s="10"/>
      <c r="J748" s="6"/>
      <c r="K748" s="4"/>
    </row>
    <row r="749" spans="2:11" ht="12.75">
      <c r="B749" s="6"/>
      <c r="C749" s="6"/>
      <c r="D749" s="7"/>
      <c r="E749" s="7"/>
      <c r="F749" s="8"/>
      <c r="G749" s="9"/>
      <c r="H749" s="9"/>
      <c r="I749" s="10"/>
      <c r="J749" s="6"/>
      <c r="K749" s="4"/>
    </row>
    <row r="750" spans="2:11" ht="12.75">
      <c r="B750" s="6"/>
      <c r="C750" s="6"/>
      <c r="D750" s="7"/>
      <c r="E750" s="7"/>
      <c r="F750" s="8"/>
      <c r="G750" s="9"/>
      <c r="H750" s="9"/>
      <c r="I750" s="10"/>
      <c r="J750" s="6"/>
      <c r="K750" s="4"/>
    </row>
    <row r="751" spans="2:11" ht="12.75">
      <c r="B751" s="6"/>
      <c r="C751" s="6"/>
      <c r="D751" s="7"/>
      <c r="E751" s="7"/>
      <c r="F751" s="8"/>
      <c r="G751" s="9"/>
      <c r="H751" s="9"/>
      <c r="I751" s="10"/>
      <c r="J751" s="6"/>
      <c r="K751" s="4"/>
    </row>
    <row r="752" spans="2:11" ht="12.75">
      <c r="B752" s="6"/>
      <c r="C752" s="6"/>
      <c r="D752" s="7"/>
      <c r="E752" s="7"/>
      <c r="F752" s="8"/>
      <c r="G752" s="9"/>
      <c r="H752" s="9"/>
      <c r="I752" s="10"/>
      <c r="J752" s="6"/>
      <c r="K752" s="4"/>
    </row>
    <row r="753" spans="2:11" ht="12.75">
      <c r="B753" s="6"/>
      <c r="C753" s="6"/>
      <c r="D753" s="7"/>
      <c r="E753" s="7"/>
      <c r="F753" s="8"/>
      <c r="G753" s="9"/>
      <c r="H753" s="9"/>
      <c r="I753" s="10"/>
      <c r="J753" s="6"/>
      <c r="K753" s="4"/>
    </row>
    <row r="754" spans="2:11" ht="12.75">
      <c r="B754" s="6"/>
      <c r="C754" s="6"/>
      <c r="D754" s="7"/>
      <c r="E754" s="7"/>
      <c r="F754" s="8"/>
      <c r="G754" s="9"/>
      <c r="H754" s="9"/>
      <c r="I754" s="10"/>
      <c r="J754" s="6"/>
      <c r="K754" s="4"/>
    </row>
    <row r="755" spans="2:11" ht="12.75">
      <c r="B755" s="6"/>
      <c r="C755" s="6"/>
      <c r="D755" s="7"/>
      <c r="E755" s="7"/>
      <c r="F755" s="8"/>
      <c r="G755" s="9"/>
      <c r="H755" s="9"/>
      <c r="I755" s="10"/>
      <c r="J755" s="6"/>
      <c r="K755" s="4"/>
    </row>
    <row r="756" spans="2:11" ht="12.75">
      <c r="B756" s="6"/>
      <c r="C756" s="6"/>
      <c r="D756" s="7"/>
      <c r="E756" s="7"/>
      <c r="F756" s="8"/>
      <c r="G756" s="9"/>
      <c r="H756" s="9"/>
      <c r="I756" s="10"/>
      <c r="J756" s="6"/>
      <c r="K756" s="4"/>
    </row>
    <row r="757" spans="2:11" ht="12.75">
      <c r="B757" s="6"/>
      <c r="C757" s="6"/>
      <c r="D757" s="7"/>
      <c r="E757" s="7"/>
      <c r="F757" s="8"/>
      <c r="G757" s="9"/>
      <c r="H757" s="9"/>
      <c r="I757" s="10"/>
      <c r="J757" s="6"/>
      <c r="K757" s="4"/>
    </row>
    <row r="758" spans="2:11" ht="12.75">
      <c r="B758" s="6"/>
      <c r="C758" s="6"/>
      <c r="D758" s="7"/>
      <c r="E758" s="7"/>
      <c r="F758" s="8"/>
      <c r="G758" s="9"/>
      <c r="H758" s="9"/>
      <c r="I758" s="10"/>
      <c r="J758" s="6"/>
      <c r="K758" s="4"/>
    </row>
    <row r="759" spans="2:11" ht="12.75">
      <c r="B759" s="6"/>
      <c r="C759" s="6"/>
      <c r="D759" s="7"/>
      <c r="E759" s="7"/>
      <c r="F759" s="8"/>
      <c r="G759" s="9"/>
      <c r="H759" s="9"/>
      <c r="I759" s="10"/>
      <c r="J759" s="6"/>
      <c r="K759" s="4"/>
    </row>
    <row r="760" spans="2:11" ht="12.75">
      <c r="B760" s="6"/>
      <c r="C760" s="6"/>
      <c r="D760" s="7"/>
      <c r="E760" s="7"/>
      <c r="F760" s="8"/>
      <c r="G760" s="9"/>
      <c r="H760" s="9"/>
      <c r="I760" s="10"/>
      <c r="J760" s="6"/>
      <c r="K760" s="4"/>
    </row>
    <row r="761" spans="2:11" ht="12.75">
      <c r="B761" s="6"/>
      <c r="C761" s="6"/>
      <c r="D761" s="7"/>
      <c r="E761" s="7"/>
      <c r="F761" s="8"/>
      <c r="G761" s="9"/>
      <c r="H761" s="9"/>
      <c r="I761" s="10"/>
      <c r="J761" s="6"/>
      <c r="K761" s="4"/>
    </row>
    <row r="762" spans="2:11" ht="12.75">
      <c r="B762" s="6"/>
      <c r="C762" s="6"/>
      <c r="D762" s="7"/>
      <c r="E762" s="7"/>
      <c r="F762" s="8"/>
      <c r="G762" s="9"/>
      <c r="H762" s="9"/>
      <c r="I762" s="10"/>
      <c r="J762" s="6"/>
      <c r="K762" s="4"/>
    </row>
    <row r="763" spans="2:11" ht="12.75">
      <c r="B763" s="6"/>
      <c r="C763" s="6"/>
      <c r="D763" s="7"/>
      <c r="E763" s="7"/>
      <c r="F763" s="8"/>
      <c r="G763" s="9"/>
      <c r="H763" s="9"/>
      <c r="I763" s="10"/>
      <c r="J763" s="6"/>
      <c r="K763" s="4"/>
    </row>
    <row r="764" spans="2:11" ht="12.75">
      <c r="B764" s="6"/>
      <c r="C764" s="6"/>
      <c r="D764" s="7"/>
      <c r="E764" s="7"/>
      <c r="F764" s="8"/>
      <c r="G764" s="9"/>
      <c r="H764" s="9"/>
      <c r="I764" s="10"/>
      <c r="J764" s="6"/>
      <c r="K764" s="4"/>
    </row>
    <row r="765" spans="2:11" ht="12.75">
      <c r="B765" s="6"/>
      <c r="C765" s="6"/>
      <c r="D765" s="7"/>
      <c r="E765" s="7"/>
      <c r="F765" s="8"/>
      <c r="G765" s="9"/>
      <c r="H765" s="9"/>
      <c r="I765" s="10"/>
      <c r="J765" s="6"/>
      <c r="K765" s="4"/>
    </row>
    <row r="766" spans="2:11" ht="12.75">
      <c r="B766" s="6"/>
      <c r="C766" s="6"/>
      <c r="D766" s="7"/>
      <c r="E766" s="7"/>
      <c r="F766" s="8"/>
      <c r="G766" s="9"/>
      <c r="H766" s="9"/>
      <c r="I766" s="10"/>
      <c r="J766" s="6"/>
      <c r="K766" s="4"/>
    </row>
    <row r="767" spans="2:11" ht="12.75">
      <c r="B767" s="6"/>
      <c r="C767" s="6"/>
      <c r="D767" s="7"/>
      <c r="E767" s="7"/>
      <c r="F767" s="8"/>
      <c r="G767" s="9"/>
      <c r="H767" s="9"/>
      <c r="I767" s="10"/>
      <c r="J767" s="6"/>
      <c r="K767" s="4"/>
    </row>
    <row r="768" spans="2:11" ht="12.75">
      <c r="B768" s="6"/>
      <c r="C768" s="6"/>
      <c r="D768" s="7"/>
      <c r="E768" s="7"/>
      <c r="F768" s="8"/>
      <c r="G768" s="9"/>
      <c r="H768" s="9"/>
      <c r="I768" s="10"/>
      <c r="J768" s="6"/>
      <c r="K768" s="4"/>
    </row>
    <row r="769" spans="2:11" ht="12.75">
      <c r="B769" s="6"/>
      <c r="C769" s="6"/>
      <c r="D769" s="7"/>
      <c r="E769" s="7"/>
      <c r="F769" s="8"/>
      <c r="G769" s="9"/>
      <c r="H769" s="9"/>
      <c r="I769" s="10"/>
      <c r="J769" s="6"/>
      <c r="K769" s="4"/>
    </row>
    <row r="770" spans="2:11" ht="12.75">
      <c r="B770" s="6"/>
      <c r="C770" s="6"/>
      <c r="D770" s="7"/>
      <c r="E770" s="7"/>
      <c r="F770" s="8"/>
      <c r="G770" s="9"/>
      <c r="H770" s="9"/>
      <c r="I770" s="10"/>
      <c r="J770" s="6"/>
      <c r="K770" s="4"/>
    </row>
    <row r="771" spans="2:11" ht="12.75">
      <c r="B771" s="6"/>
      <c r="C771" s="6"/>
      <c r="D771" s="7"/>
      <c r="E771" s="7"/>
      <c r="F771" s="8"/>
      <c r="G771" s="9"/>
      <c r="H771" s="9"/>
      <c r="I771" s="10"/>
      <c r="J771" s="6"/>
      <c r="K771" s="4"/>
    </row>
    <row r="772" spans="2:11" ht="12.75">
      <c r="B772" s="6"/>
      <c r="C772" s="6"/>
      <c r="D772" s="7"/>
      <c r="E772" s="7"/>
      <c r="F772" s="8"/>
      <c r="G772" s="9"/>
      <c r="H772" s="9"/>
      <c r="I772" s="10"/>
      <c r="J772" s="6"/>
      <c r="K772" s="4"/>
    </row>
    <row r="773" spans="2:11" ht="12.75">
      <c r="B773" s="6"/>
      <c r="C773" s="6"/>
      <c r="D773" s="7"/>
      <c r="E773" s="7"/>
      <c r="F773" s="8"/>
      <c r="G773" s="9"/>
      <c r="H773" s="9"/>
      <c r="I773" s="10"/>
      <c r="J773" s="6"/>
      <c r="K773" s="4"/>
    </row>
    <row r="774" spans="2:11" ht="12.75">
      <c r="B774" s="6"/>
      <c r="C774" s="6"/>
      <c r="D774" s="7"/>
      <c r="E774" s="7"/>
      <c r="F774" s="8"/>
      <c r="G774" s="9"/>
      <c r="H774" s="9"/>
      <c r="I774" s="10"/>
      <c r="J774" s="6"/>
      <c r="K774" s="4"/>
    </row>
    <row r="775" spans="2:11" ht="12.75">
      <c r="B775" s="6"/>
      <c r="C775" s="6"/>
      <c r="D775" s="7"/>
      <c r="E775" s="7"/>
      <c r="F775" s="8"/>
      <c r="G775" s="9"/>
      <c r="H775" s="9"/>
      <c r="I775" s="10"/>
      <c r="J775" s="6"/>
      <c r="K775" s="4"/>
    </row>
    <row r="776" spans="2:11" ht="12.75">
      <c r="B776" s="6"/>
      <c r="C776" s="6"/>
      <c r="D776" s="7"/>
      <c r="E776" s="7"/>
      <c r="F776" s="8"/>
      <c r="G776" s="9"/>
      <c r="H776" s="9"/>
      <c r="I776" s="10"/>
      <c r="J776" s="6"/>
      <c r="K776" s="4"/>
    </row>
    <row r="777" spans="2:11" ht="12.75">
      <c r="B777" s="6"/>
      <c r="C777" s="6"/>
      <c r="D777" s="7"/>
      <c r="E777" s="7"/>
      <c r="F777" s="8"/>
      <c r="G777" s="9"/>
      <c r="H777" s="9"/>
      <c r="I777" s="10"/>
      <c r="J777" s="6"/>
      <c r="K777" s="4"/>
    </row>
    <row r="778" spans="2:11" ht="12.75">
      <c r="B778" s="6"/>
      <c r="C778" s="6"/>
      <c r="D778" s="7"/>
      <c r="E778" s="7"/>
      <c r="F778" s="8"/>
      <c r="G778" s="9"/>
      <c r="H778" s="9"/>
      <c r="I778" s="10"/>
      <c r="J778" s="6"/>
      <c r="K778" s="4"/>
    </row>
    <row r="779" spans="2:11" ht="12.75">
      <c r="B779" s="6"/>
      <c r="C779" s="6"/>
      <c r="D779" s="7"/>
      <c r="E779" s="7"/>
      <c r="F779" s="8"/>
      <c r="G779" s="9"/>
      <c r="H779" s="9"/>
      <c r="I779" s="10"/>
      <c r="J779" s="6"/>
      <c r="K779" s="4"/>
    </row>
    <row r="780" spans="2:11" ht="12.75">
      <c r="B780" s="6"/>
      <c r="C780" s="6"/>
      <c r="D780" s="7"/>
      <c r="E780" s="7"/>
      <c r="F780" s="8"/>
      <c r="G780" s="9"/>
      <c r="H780" s="9"/>
      <c r="I780" s="10"/>
      <c r="J780" s="6"/>
      <c r="K780" s="4"/>
    </row>
    <row r="781" spans="2:11" ht="12.75">
      <c r="B781" s="6"/>
      <c r="C781" s="6"/>
      <c r="D781" s="7"/>
      <c r="E781" s="7"/>
      <c r="F781" s="8"/>
      <c r="G781" s="9"/>
      <c r="H781" s="9"/>
      <c r="I781" s="10"/>
      <c r="J781" s="6"/>
      <c r="K781" s="4"/>
    </row>
    <row r="782" spans="2:11" ht="12.75">
      <c r="B782" s="6"/>
      <c r="C782" s="6"/>
      <c r="D782" s="7"/>
      <c r="E782" s="7"/>
      <c r="F782" s="8"/>
      <c r="G782" s="9"/>
      <c r="H782" s="9"/>
      <c r="I782" s="10"/>
      <c r="J782" s="6"/>
      <c r="K782" s="4"/>
    </row>
    <row r="783" spans="2:11" ht="12.75">
      <c r="B783" s="6"/>
      <c r="C783" s="6"/>
      <c r="D783" s="7"/>
      <c r="E783" s="7"/>
      <c r="F783" s="8"/>
      <c r="G783" s="9"/>
      <c r="H783" s="9"/>
      <c r="I783" s="10"/>
      <c r="J783" s="6"/>
      <c r="K783" s="4"/>
    </row>
    <row r="784" spans="2:11" ht="12.75">
      <c r="B784" s="6"/>
      <c r="C784" s="6"/>
      <c r="D784" s="7"/>
      <c r="E784" s="7"/>
      <c r="F784" s="8"/>
      <c r="G784" s="9"/>
      <c r="H784" s="9"/>
      <c r="I784" s="10"/>
      <c r="J784" s="6"/>
      <c r="K784" s="4"/>
    </row>
    <row r="785" spans="2:11" ht="12.75">
      <c r="B785" s="6"/>
      <c r="C785" s="6"/>
      <c r="D785" s="7"/>
      <c r="E785" s="7"/>
      <c r="F785" s="8"/>
      <c r="G785" s="9"/>
      <c r="H785" s="9"/>
      <c r="I785" s="10"/>
      <c r="J785" s="6"/>
      <c r="K785" s="4"/>
    </row>
    <row r="786" spans="2:11" ht="12.75">
      <c r="B786" s="6"/>
      <c r="C786" s="6"/>
      <c r="D786" s="7"/>
      <c r="E786" s="7"/>
      <c r="F786" s="8"/>
      <c r="G786" s="9"/>
      <c r="H786" s="9"/>
      <c r="I786" s="10"/>
      <c r="J786" s="6"/>
      <c r="K786" s="4"/>
    </row>
    <row r="787" spans="2:11" ht="12.75">
      <c r="B787" s="6"/>
      <c r="C787" s="6"/>
      <c r="D787" s="7"/>
      <c r="E787" s="7"/>
      <c r="F787" s="8"/>
      <c r="G787" s="9"/>
      <c r="H787" s="9"/>
      <c r="I787" s="10"/>
      <c r="J787" s="6"/>
      <c r="K787" s="4"/>
    </row>
    <row r="788" spans="2:11" ht="12.75">
      <c r="B788" s="6"/>
      <c r="C788" s="6"/>
      <c r="D788" s="7"/>
      <c r="E788" s="7"/>
      <c r="F788" s="8"/>
      <c r="G788" s="9"/>
      <c r="H788" s="9"/>
      <c r="I788" s="10"/>
      <c r="J788" s="6"/>
      <c r="K788" s="4"/>
    </row>
    <row r="789" spans="2:11" ht="12.75">
      <c r="B789" s="6"/>
      <c r="C789" s="6"/>
      <c r="D789" s="7"/>
      <c r="E789" s="7"/>
      <c r="F789" s="8"/>
      <c r="G789" s="9"/>
      <c r="H789" s="9"/>
      <c r="I789" s="10"/>
      <c r="J789" s="6"/>
      <c r="K789" s="4"/>
    </row>
    <row r="790" spans="2:11" ht="12.75">
      <c r="B790" s="6"/>
      <c r="C790" s="6"/>
      <c r="D790" s="7"/>
      <c r="E790" s="7"/>
      <c r="F790" s="8"/>
      <c r="G790" s="9"/>
      <c r="H790" s="9"/>
      <c r="I790" s="10"/>
      <c r="J790" s="6"/>
      <c r="K790" s="4"/>
    </row>
  </sheetData>
  <mergeCells count="3">
    <mergeCell ref="F7:H7"/>
    <mergeCell ref="F27:H27"/>
    <mergeCell ref="F39:H39"/>
  </mergeCells>
  <phoneticPr fontId="4" type="noConversion"/>
  <dataValidations count="1">
    <dataValidation type="list" allowBlank="1" showErrorMessage="1" sqref="H28:H36 H40:H50 H8:H25">
      <formula1>"세금계산서,카드결제,없음,?,무증빙 입금,면세"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매출관리</vt:lpstr>
      <vt:lpstr>원부자재</vt:lpstr>
      <vt:lpstr>외주정산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2026-07-03T09:10:24Z</dcterms:created>
  <dcterms:modified xsi:type="dcterms:W3CDTF">2026-07-03T09:10:24Z</dcterms:modified>
</cp:coreProperties>
</file>